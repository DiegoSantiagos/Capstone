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Casos de prueba" sheetId="3" state="visible" r:id="rId5"/>
  </sheets>
  <definedNames>
    <definedName function="false" hidden="true" localSheetId="2" name="_xlnm._FilterDatabase" vbProcedure="false">'Casos de prueba'!$A$1:$N$207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<sst xmlns="http://schemas.openxmlformats.org/spreadsheetml/2006/main" count="2181" uniqueCount="1149">
  <si>
    <t xml:space="preserve">Casos de Prueba</t>
  </si>
  <si>
    <t xml:space="preserve">Suite automatizada del backend</t>
  </si>
  <si>
    <t xml:space="preserve">Acredittia</t>
  </si>
  <si>
    <t xml:space="preserve">Revisión: 1.0</t>
  </si>
  <si>
    <t xml:space="preserve">30/10/2026</t>
  </si>
  <si>
    <t xml:space="preserve">Contenido del libro</t>
  </si>
  <si>
    <t xml:space="preserve">Resumen</t>
  </si>
  <si>
    <t xml:space="preserve">Casos y resultados por módulo</t>
  </si>
  <si>
    <t xml:space="preserve">Casos de prueba</t>
  </si>
  <si>
    <t xml:space="preserve">206 casos con requisito, precondiciones, pasos y resultado esperado</t>
  </si>
  <si>
    <t xml:space="preserve">Ficha del documento</t>
  </si>
  <si>
    <t xml:space="preserve">Fecha</t>
  </si>
  <si>
    <t xml:space="preserve">Revisión</t>
  </si>
  <si>
    <t xml:space="preserve">Autor</t>
  </si>
  <si>
    <t xml:space="preserve">Modificación</t>
  </si>
  <si>
    <t xml:space="preserve">1.0</t>
  </si>
  <si>
    <t xml:space="preserve">Equipo Acredittia</t>
  </si>
  <si>
    <t xml:space="preserve">Creación del documento</t>
  </si>
  <si>
    <t xml:space="preserve">Escuela de Informática y Telecomunicaciones · Duoc UC</t>
  </si>
  <si>
    <t xml:space="preserve">Casos de prueba — Acredittia (backend)</t>
  </si>
  <si>
    <t xml:space="preserve">Fuente: suite pytest de Backend_Acredita (app/backend/tests). Cada caso corresponde a una función de prueba automatizada.</t>
  </si>
  <si>
    <t xml:space="preserve">Módulo</t>
  </si>
  <si>
    <t xml:space="preserve">Casos</t>
  </si>
  <si>
    <t xml:space="preserve">Variantes ejecutadas</t>
  </si>
  <si>
    <t xml:space="preserve">Aprobados</t>
  </si>
  <si>
    <t xml:space="preserve">Fallidos</t>
  </si>
  <si>
    <t xml:space="preserve">Omitidos</t>
  </si>
  <si>
    <t xml:space="preserve">Pendientes</t>
  </si>
  <si>
    <t xml:space="preserve">Autenticación y cuentas</t>
  </si>
  <si>
    <t xml:space="preserve">Contratos y requisitos</t>
  </si>
  <si>
    <t xml:space="preserve">Gestión documental e IA</t>
  </si>
  <si>
    <t xml:space="preserve">Esquema de base de datos</t>
  </si>
  <si>
    <t xml:space="preserve">Alertas, dashboard y calendario</t>
  </si>
  <si>
    <t xml:space="preserve">Reportes y exportaciones</t>
  </si>
  <si>
    <t xml:space="preserve">Personal, equipos y EMSIPOR</t>
  </si>
  <si>
    <t xml:space="preserve">Aislamiento multi-tenant</t>
  </si>
  <si>
    <t xml:space="preserve">Bóveda de credenciales JWE</t>
  </si>
  <si>
    <t xml:space="preserve">Total</t>
  </si>
  <si>
    <t xml:space="preserve">Tasa de aprobación</t>
  </si>
  <si>
    <t xml:space="preserve">Columnas 'Resultado obtenido' y 'Estado': se completan con la ejecución de la suite (ver Resultados de pruebas).</t>
  </si>
  <si>
    <t xml:space="preserve">ID</t>
  </si>
  <si>
    <t xml:space="preserve">Requisito</t>
  </si>
  <si>
    <t xml:space="preserve">Tipo</t>
  </si>
  <si>
    <t xml:space="preserve">Caso de prueba</t>
  </si>
  <si>
    <t xml:space="preserve">Objetivo</t>
  </si>
  <si>
    <t xml:space="preserve">Precondiciones</t>
  </si>
  <si>
    <t xml:space="preserve">Pasos (endpoints)</t>
  </si>
  <si>
    <t xml:space="preserve">Resultado esperado</t>
  </si>
  <si>
    <t xml:space="preserve">Variantes</t>
  </si>
  <si>
    <t xml:space="preserve">Verificaciones</t>
  </si>
  <si>
    <t xml:space="preserve">Ubicación en el código</t>
  </si>
  <si>
    <t xml:space="preserve">Resultado obtenido</t>
  </si>
  <si>
    <t xml:space="preserve">Estado</t>
  </si>
  <si>
    <t xml:space="preserve">CP-AUT-01</t>
  </si>
  <si>
    <t xml:space="preserve">RF-01</t>
  </si>
  <si>
    <t xml:space="preserve">Integración (API)</t>
  </si>
  <si>
    <t xml:space="preserve">Registro queda pendiente</t>
  </si>
  <si>
    <t xml:space="preserve">API levantada sobre PostgreSQL 16</t>
  </si>
  <si>
    <t xml:space="preserve">POST /api/v1/auth/register · POST /api/v1/auth/login</t>
  </si>
  <si>
    <t xml:space="preserve">Registro queda pendiente. HTTP 201, 403 ; código de error ACCOUNT_PENDING.</t>
  </si>
  <si>
    <t xml:space="preserve">tests/test_auth.py::test_registro_queda_pendiente</t>
  </si>
  <si>
    <t xml:space="preserve">Pendiente</t>
  </si>
  <si>
    <t xml:space="preserve">CP-AUT-02</t>
  </si>
  <si>
    <t xml:space="preserve">Registro email y rut duplicados</t>
  </si>
  <si>
    <t xml:space="preserve">API levantada sobre PostgreSQL 16; Empresa A registrada, aprobada y autenticada</t>
  </si>
  <si>
    <t xml:space="preserve">POST /api/v1/auth/register</t>
  </si>
  <si>
    <t xml:space="preserve">Registro email y rut duplicados. HTTP 409 ; código de error EMAIL_EN_USO, RUT_EN_USO.</t>
  </si>
  <si>
    <t xml:space="preserve">tests/test_auth.py::test_registro_email_y_rut_duplicados</t>
  </si>
  <si>
    <t xml:space="preserve">CP-AUT-03</t>
  </si>
  <si>
    <t xml:space="preserve">Registro rut invalido</t>
  </si>
  <si>
    <t xml:space="preserve">Registro rut invalido. HTTP 422 ; código de error RUT_INVALIDO.</t>
  </si>
  <si>
    <t xml:space="preserve">tests/test_auth.py::test_registro_rut_invalido</t>
  </si>
  <si>
    <t xml:space="preserve">CP-AUT-04</t>
  </si>
  <si>
    <t xml:space="preserve">Registro rechaza password debil</t>
  </si>
  <si>
    <t xml:space="preserve">Registro rechaza password debil. HTTP 422 ; código de error PASSWORD_DEBIL.</t>
  </si>
  <si>
    <t xml:space="preserve">tests/test_auth.py::test_registro_rechaza_password_debil</t>
  </si>
  <si>
    <t xml:space="preserve">CP-AUT-05</t>
  </si>
  <si>
    <t xml:space="preserve">RF-03</t>
  </si>
  <si>
    <t xml:space="preserve">Login y me</t>
  </si>
  <si>
    <t xml:space="preserve">GET /api/v1/auth/me</t>
  </si>
  <si>
    <t xml:space="preserve">Login y me. HTTP 200.</t>
  </si>
  <si>
    <t xml:space="preserve">tests/test_auth.py::test_login_y_me</t>
  </si>
  <si>
    <t xml:space="preserve">CP-AUT-06</t>
  </si>
  <si>
    <t xml:space="preserve">Me sin token</t>
  </si>
  <si>
    <t xml:space="preserve">Me sin token. HTTP 401 ; código de error TOKEN_AUSENTE, TOKEN_INVALIDO.</t>
  </si>
  <si>
    <t xml:space="preserve">tests/test_auth.py::test_me_sin_token</t>
  </si>
  <si>
    <t xml:space="preserve">CP-AUT-07</t>
  </si>
  <si>
    <t xml:space="preserve">Login credenciales invalidas</t>
  </si>
  <si>
    <t xml:space="preserve">POST /api/v1/auth/login</t>
  </si>
  <si>
    <t xml:space="preserve">Login credenciales invalidas. HTTP 401 ; código de error CREDENCIALES_INVALIDAS.</t>
  </si>
  <si>
    <t xml:space="preserve">tests/test_auth.py::test_login_credenciales_invalidas</t>
  </si>
  <si>
    <t xml:space="preserve">CP-AUT-08</t>
  </si>
  <si>
    <t xml:space="preserve">RF-04</t>
  </si>
  <si>
    <t xml:space="preserve">Login usuario desactivado</t>
  </si>
  <si>
    <t xml:space="preserve">`activo=False` no es lo mismo que rechazado: 403 CUENTA_DESACTIVADA.</t>
  </si>
  <si>
    <t xml:space="preserve">POST /api/v1/auth/login · GET /api/v1/auth/me</t>
  </si>
  <si>
    <t xml:space="preserve">Login usuario desactivado. HTTP 403, 401 ; código de error CUENTA_DESACTIVADA.</t>
  </si>
  <si>
    <t xml:space="preserve">tests/test_auth.py::test_login_usuario_desactivado</t>
  </si>
  <si>
    <t xml:space="preserve">CP-AUT-09</t>
  </si>
  <si>
    <t xml:space="preserve">RF-02</t>
  </si>
  <si>
    <t xml:space="preserve">Login rechazado</t>
  </si>
  <si>
    <t xml:space="preserve">API levantada sobre PostgreSQL 16; Usuario administrador de la plataforma</t>
  </si>
  <si>
    <t xml:space="preserve">POST /api/v1/auth/register · POST /api/v1/admin/companies/{id}/reject · POST /api/v1/auth/login</t>
  </si>
  <si>
    <t xml:space="preserve">Login rechazado. HTTP 200, 403 ; código de error ACCOUNT_REJECTED.</t>
  </si>
  <si>
    <t xml:space="preserve">tests/test_auth.py::test_login_rechazado</t>
  </si>
  <si>
    <t xml:space="preserve">CP-AUT-10</t>
  </si>
  <si>
    <t xml:space="preserve">Refresh rota el token</t>
  </si>
  <si>
    <t xml:space="preserve">POST /api/v1/auth/refresh · GET /api/v1/auth/me</t>
  </si>
  <si>
    <t xml:space="preserve">Refresh rota el token. HTTP 200, 401 ; código de error REFRESH_INVALIDO.</t>
  </si>
  <si>
    <t xml:space="preserve">tests/test_auth.py::test_refresh_rota_el_token</t>
  </si>
  <si>
    <t xml:space="preserve">CP-AUT-11</t>
  </si>
  <si>
    <t xml:space="preserve">Refresh de usuario desactivado</t>
  </si>
  <si>
    <t xml:space="preserve">POST /api/v1/auth/refresh</t>
  </si>
  <si>
    <t xml:space="preserve">Refresh de usuario desactivado. HTTP 401 ; código de error REFRESH_INVALIDO.</t>
  </si>
  <si>
    <t xml:space="preserve">tests/test_auth.py::test_refresh_de_usuario_desactivado</t>
  </si>
  <si>
    <t xml:space="preserve">CP-AUT-12</t>
  </si>
  <si>
    <t xml:space="preserve">Logout revoca el refresh</t>
  </si>
  <si>
    <t xml:space="preserve">POST /api/v1/auth/logout · POST /api/v1/auth/refresh</t>
  </si>
  <si>
    <t xml:space="preserve">Logout revoca el refresh. HTTP 200, 401.</t>
  </si>
  <si>
    <t xml:space="preserve">tests/test_auth.py::test_logout_revoca_el_refresh</t>
  </si>
  <si>
    <t xml:space="preserve">CP-AUT-13</t>
  </si>
  <si>
    <t xml:space="preserve">Forgot es opaco</t>
  </si>
  <si>
    <t xml:space="preserve">POST /api/v1/auth/password/forgot</t>
  </si>
  <si>
    <t xml:space="preserve">Forgot es opaco. HTTP 200.</t>
  </si>
  <si>
    <t xml:space="preserve">tests/test_auth.py::test_forgot_es_opaco</t>
  </si>
  <si>
    <t xml:space="preserve">CP-AUT-14</t>
  </si>
  <si>
    <t xml:space="preserve">Forgot invalida el token anterior</t>
  </si>
  <si>
    <t xml:space="preserve">POST /api/v1/auth/password/forgot · POST /api/v1/auth/password/reset</t>
  </si>
  <si>
    <t xml:space="preserve">Forgot invalida el token anterior. HTTP 400, 200 ; código de error TOKEN_INVALIDO.</t>
  </si>
  <si>
    <t xml:space="preserve">tests/test_auth.py::test_forgot_invalida_el_token_anterior</t>
  </si>
  <si>
    <t xml:space="preserve">CP-AUT-15</t>
  </si>
  <si>
    <t xml:space="preserve">RF-03 / RNF-03</t>
  </si>
  <si>
    <t xml:space="preserve">Reset cambia la clave y revoca sesiones</t>
  </si>
  <si>
    <t xml:space="preserve">POST /api/v1/auth/password/forgot · POST /api/v1/auth/password/reset · POST /api/v1/auth/login · POST /api/v1/auth/refresh</t>
  </si>
  <si>
    <t xml:space="preserve">Reset cambia la clave y revoca sesiones. HTTP 200, 401, 400.</t>
  </si>
  <si>
    <t xml:space="preserve">tests/test_auth.py::test_reset_cambia_la_clave_y_revoca_sesiones</t>
  </si>
  <si>
    <t xml:space="preserve">CP-AUT-16</t>
  </si>
  <si>
    <t xml:space="preserve">Reset aplica politica de password</t>
  </si>
  <si>
    <t xml:space="preserve">Reset aplica politica de password. HTTP 400 ; código de error PASSWORD_DEBIL.</t>
  </si>
  <si>
    <t xml:space="preserve">tests/test_auth.py::test_reset_aplica_politica_de_password</t>
  </si>
  <si>
    <t xml:space="preserve">CP-AUT-17</t>
  </si>
  <si>
    <t xml:space="preserve">Reset con token inexistente</t>
  </si>
  <si>
    <t xml:space="preserve">POST /api/v1/auth/password/reset</t>
  </si>
  <si>
    <t xml:space="preserve">Reset con token inexistente. HTTP 400 ; código de error TOKEN_INVALIDO.</t>
  </si>
  <si>
    <t xml:space="preserve">tests/test_auth.py::test_reset_con_token_inexistente</t>
  </si>
  <si>
    <t xml:space="preserve">CP-AUT-18</t>
  </si>
  <si>
    <t xml:space="preserve">Patch me cuerpo vacio</t>
  </si>
  <si>
    <t xml:space="preserve">PATCH /api/v1/auth/me</t>
  </si>
  <si>
    <t xml:space="preserve">Patch me cuerpo vacio. HTTP 400 ; código de error SIN_CAMBIOS.</t>
  </si>
  <si>
    <t xml:space="preserve">tests/test_auth.py::test_patch_me_cuerpo_vacio</t>
  </si>
  <si>
    <t xml:space="preserve">CP-AUT-19</t>
  </si>
  <si>
    <t xml:space="preserve">Patch me nombre y email</t>
  </si>
  <si>
    <t xml:space="preserve">PATCH /api/v1/auth/me · POST /api/v1/auth/login</t>
  </si>
  <si>
    <t xml:space="preserve">Patch me nombre y email. HTTP 200.</t>
  </si>
  <si>
    <t xml:space="preserve">tests/test_auth.py::test_patch_me_nombre_y_email</t>
  </si>
  <si>
    <t xml:space="preserve">CP-AUT-20</t>
  </si>
  <si>
    <t xml:space="preserve">Patch me email en uso</t>
  </si>
  <si>
    <t xml:space="preserve">El email es único a nivel de plataforma, aunque RLS oculte al otro usuario.</t>
  </si>
  <si>
    <t xml:space="preserve">API levantada sobre PostgreSQL 16; Empresa A registrada, aprobada y autenticada; Empresa B registrada, aprobada y autenticada</t>
  </si>
  <si>
    <t xml:space="preserve">Patch me email en uso. HTTP 409 ; código de error EMAIL_EN_USO.</t>
  </si>
  <si>
    <t xml:space="preserve">tests/test_auth.py::test_patch_me_email_en_uso</t>
  </si>
  <si>
    <t xml:space="preserve">CP-AUT-21</t>
  </si>
  <si>
    <t xml:space="preserve">Patch me password exige la actual</t>
  </si>
  <si>
    <t xml:space="preserve">Patch me password exige la actual. HTTP 401, 400 ; código de error PASSWORD_ACTUAL_REQUERIDA, PASSWORD_ACTUAL_INVALIDA, PASSWORD_DEBIL.</t>
  </si>
  <si>
    <t xml:space="preserve">tests/test_auth.py::test_patch_me_password_exige_la_actual</t>
  </si>
  <si>
    <t xml:space="preserve">CP-AUT-22</t>
  </si>
  <si>
    <t xml:space="preserve">Patch me password conserva la sesion indicada</t>
  </si>
  <si>
    <t xml:space="preserve">Enviar el refresh de la sesión en curso evita que se cierre.</t>
  </si>
  <si>
    <t xml:space="preserve">PATCH /api/v1/auth/me · POST /api/v1/auth/refresh</t>
  </si>
  <si>
    <t xml:space="preserve">Patch me password conserva la sesion indicada. HTTP 200.</t>
  </si>
  <si>
    <t xml:space="preserve">tests/test_auth.py::test_patch_me_password_conserva_la_sesion_indicada</t>
  </si>
  <si>
    <t xml:space="preserve">CP-AUT-23</t>
  </si>
  <si>
    <t xml:space="preserve">Patch me password cierra las demas sesiones</t>
  </si>
  <si>
    <t xml:space="preserve">POST /api/v1/auth/login · PATCH /api/v1/auth/me · POST /api/v1/auth/refresh</t>
  </si>
  <si>
    <t xml:space="preserve">Patch me password cierra las demas sesiones. HTTP 200, 401.</t>
  </si>
  <si>
    <t xml:space="preserve">tests/test_auth.py::test_patch_me_password_cierra_las_demas_sesiones</t>
  </si>
  <si>
    <t xml:space="preserve">CP-AUT-24</t>
  </si>
  <si>
    <t xml:space="preserve">Company no puede usar endpoints de admin</t>
  </si>
  <si>
    <t xml:space="preserve">GET /api/v1/admin/companies</t>
  </si>
  <si>
    <t xml:space="preserve">Company no puede usar endpoints de admin. HTTP 403 ; código de error SOLO_ADMIN.</t>
  </si>
  <si>
    <t xml:space="preserve">tests/test_auth.py::test_company_no_puede_usar_endpoints_de_admin</t>
  </si>
  <si>
    <t xml:space="preserve">CP-AUT-25</t>
  </si>
  <si>
    <t xml:space="preserve">Admin necesita company id para datos de empresa</t>
  </si>
  <si>
    <t xml:space="preserve">GET /api/v1/contratos</t>
  </si>
  <si>
    <t xml:space="preserve">Admin necesita company id para datos de empresa. HTTP 400 ; código de error COMPANY_ID_REQUERIDO, COMPANY_ID_INVALIDO.</t>
  </si>
  <si>
    <t xml:space="preserve">tests/test_auth.py::test_admin_necesita_company_id_para_datos_de_empresa</t>
  </si>
  <si>
    <t xml:space="preserve">CP-AUT-26</t>
  </si>
  <si>
    <t xml:space="preserve">Admin impersona con x company id</t>
  </si>
  <si>
    <t xml:space="preserve">API levantada sobre PostgreSQL 16; Usuario administrador de la plataforma; Empresa A registrada, aprobada y autenticada; Contrato de la empresa A en Los Pelambres</t>
  </si>
  <si>
    <t xml:space="preserve">Admin impersona con x company id. HTTP 200.</t>
  </si>
  <si>
    <t xml:space="preserve">tests/test_auth.py::test_admin_impersona_con_x_company_id</t>
  </si>
  <si>
    <t xml:space="preserve">CP-AUT-27</t>
  </si>
  <si>
    <t xml:space="preserve">Contract admin no muta datos de empresa</t>
  </si>
  <si>
    <t xml:space="preserve">`require_company` excluye al contract_admin de las mutaciones de empresa.</t>
  </si>
  <si>
    <t xml:space="preserve">API levantada sobre PostgreSQL 16; Empresa A registrada, aprobada y autenticada; Contrato de la empresa A en Los Pelambres</t>
  </si>
  <si>
    <t xml:space="preserve">GET /api/v1/auth/me · POST /api/v1/company/usuarios</t>
  </si>
  <si>
    <t xml:space="preserve">Contract admin no muta datos de empresa. HTTP 200, 403 ; código de error ROL_INSUFICIENTE.</t>
  </si>
  <si>
    <t xml:space="preserve">tests/test_auth.py::test_contract_admin_no_muta_datos_de_empresa</t>
  </si>
  <si>
    <t xml:space="preserve">CP-AUT-28</t>
  </si>
  <si>
    <t xml:space="preserve">Invitar usuario valida el rol</t>
  </si>
  <si>
    <t xml:space="preserve">POST /api/v1/company/usuarios</t>
  </si>
  <si>
    <t xml:space="preserve">Invitar usuario valida el rol. HTTP 400 ; código de error CONTRATO_REQUERIDO, CONTRATO_NO_APLICA, ROL_INVALIDO.</t>
  </si>
  <si>
    <t xml:space="preserve">tests/test_auth.py::test_invitar_usuario_valida_el_rol</t>
  </si>
  <si>
    <t xml:space="preserve">CP-CON-01</t>
  </si>
  <si>
    <t xml:space="preserve">RF-06 / RN-04</t>
  </si>
  <si>
    <t xml:space="preserve">Alta instancia el checklist de empresa</t>
  </si>
  <si>
    <t xml:space="preserve">API levantada sobre PostgreSQL 16; Empresa A registrada, aprobada y autenticada; Faena Los Pelambres en el catálogo</t>
  </si>
  <si>
    <t xml:space="preserve">POST /api/v1/contratos · GET /api/v1/contratos/{id}/documentos?page_size=100</t>
  </si>
  <si>
    <t xml:space="preserve">Alta instancia el checklist de empresa. HTTP 201.</t>
  </si>
  <si>
    <t xml:space="preserve">tests/test_contratos.py::test_alta_instancia_el_checklist_de_empresa</t>
  </si>
  <si>
    <t xml:space="preserve">CP-CON-02</t>
  </si>
  <si>
    <t xml:space="preserve">RF-06</t>
  </si>
  <si>
    <t xml:space="preserve">Listado valida el estado</t>
  </si>
  <si>
    <t xml:space="preserve">GET /api/v1/contratos?estado=inventado</t>
  </si>
  <si>
    <t xml:space="preserve">Listado valida el estado. HTTP 400 ; código de error ESTADO_INVALIDO.</t>
  </si>
  <si>
    <t xml:space="preserve">tests/test_contratos.py::test_listado_valida_el_estado</t>
  </si>
  <si>
    <t xml:space="preserve">CP-CON-03</t>
  </si>
  <si>
    <t xml:space="preserve">Ia review de otra empresa no se puede referenciar</t>
  </si>
  <si>
    <t xml:space="preserve">POST /api/v1/contratos</t>
  </si>
  <si>
    <t xml:space="preserve">Ia review de otra empresa no se puede referenciar. HTTP 404.</t>
  </si>
  <si>
    <t xml:space="preserve">tests/test_contratos.py::test_ia_review_de_otra_empresa_no_se_puede_referenciar</t>
  </si>
  <si>
    <t xml:space="preserve">CP-CON-04</t>
  </si>
  <si>
    <t xml:space="preserve">Borrar el contrato purga sujetos y archivos</t>
  </si>
  <si>
    <t xml:space="preserve">POST /api/v1/personal · GET /api/v1/contratos/{id}/documentos · DELETE /api/v1/contratos/{id} · DELETE /api/v1/contratos/{id}?confirm=true …</t>
  </si>
  <si>
    <t xml:space="preserve">Borrar el contrato purga sujetos y archivos. HTTP 400, 200, 404.</t>
  </si>
  <si>
    <t xml:space="preserve">tests/test_contratos.py::test_borrar_el_contrato_purga_sujetos_y_archivos</t>
  </si>
  <si>
    <t xml:space="preserve">CP-CON-05</t>
  </si>
  <si>
    <t xml:space="preserve">RF-07</t>
  </si>
  <si>
    <t xml:space="preserve">Contrato nuevo hereda las plataformas de la faena</t>
  </si>
  <si>
    <t xml:space="preserve">GET /api/v1/contratos/{id}/plataformas</t>
  </si>
  <si>
    <t xml:space="preserve">Contrato nuevo hereda las plataformas de la faena. HTTP 200.</t>
  </si>
  <si>
    <t xml:space="preserve">tests/test_contratos.py::test_contrato_nuevo_hereda_las_plataformas_de_la_faena</t>
  </si>
  <si>
    <t xml:space="preserve">CP-CON-06</t>
  </si>
  <si>
    <t xml:space="preserve">La primera manual materializa las heredadas</t>
  </si>
  <si>
    <t xml:space="preserve">El riesgo real: insertar la primera fila propia no debe borrar la herencia.</t>
  </si>
  <si>
    <t xml:space="preserve">POST /api/v1/contratos/{id}/plataformas · GET /api/v1/contratos/{id}/plataformas</t>
  </si>
  <si>
    <t xml:space="preserve">La primera manual materializa las heredadas. HTTP 201.</t>
  </si>
  <si>
    <t xml:space="preserve">tests/test_contratos.py::test_la_primera_manual_materializa_las_heredadas</t>
  </si>
  <si>
    <t xml:space="preserve">CP-CON-07</t>
  </si>
  <si>
    <t xml:space="preserve">Nombre duplicado de plataforma</t>
  </si>
  <si>
    <t xml:space="preserve">El choque se detecta contra la lista EFECTIVA, incluidas las heredadas.</t>
  </si>
  <si>
    <t xml:space="preserve">POST /api/v1/contratos/{id}/plataformas</t>
  </si>
  <si>
    <t xml:space="preserve">Nombre duplicado de plataforma. HTTP 409 ; código de error PLATAFORMA_DUPLICADA.</t>
  </si>
  <si>
    <t xml:space="preserve">tests/test_contratos.py::test_nombre_duplicado_de_plataforma</t>
  </si>
  <si>
    <t xml:space="preserve">CP-CON-08</t>
  </si>
  <si>
    <t xml:space="preserve">No se borra una plataforma heredada</t>
  </si>
  <si>
    <t xml:space="preserve">Una plataforma del mandante no desaparece: se pone en `sin_acceso`.</t>
  </si>
  <si>
    <t xml:space="preserve">GET /api/v1/contratos/{id}/plataformas · DELETE /api/v1/contratos/{id}/plataformas/{id}?confirm=true · POST /api/v1/contratos/{id}/plataformas · DELETE /api/v1/contratos/{id}/plataformas/{id}</t>
  </si>
  <si>
    <t xml:space="preserve">No se borra una plataforma heredada. HTTP 409 ; código de error PLATAFORMA_HEREDADA.</t>
  </si>
  <si>
    <t xml:space="preserve">tests/test_contratos.py::test_no_se_borra_una_plataforma_heredada</t>
  </si>
  <si>
    <t xml:space="preserve">CP-CON-09</t>
  </si>
  <si>
    <t xml:space="preserve">Se borra una plataforma manual con confirmacion</t>
  </si>
  <si>
    <t xml:space="preserve">POST /api/v1/contratos/{id}/plataformas · DELETE /api/v1/contratos/{id}/plataformas/{id} · DELETE /api/v1/contratos/{id}/plataformas/{id}?confirm=true · GET /api/v1/contratos/{id}/plataformas</t>
  </si>
  <si>
    <t xml:space="preserve">Se borra una plataforma manual con confirmacion. HTTP 400, 200 ; código de error REQUIERE_CONFIRMACION.</t>
  </si>
  <si>
    <t xml:space="preserve">tests/test_contratos.py::test_se_borra_una_plataforma_manual_con_confirmacion</t>
  </si>
  <si>
    <t xml:space="preserve">CP-CON-10</t>
  </si>
  <si>
    <t xml:space="preserve">Solicitar acceso fija las marcas que exige el check</t>
  </si>
  <si>
    <t xml:space="preserve">`estado='solicitada'` exige `solicitado_at` (CHECK ck_cplat_solicitud).</t>
  </si>
  <si>
    <t xml:space="preserve">GET /api/v1/contratos/{id}/plataformas · POST /api/v1/contratos/{id}/plataformas/ · PATCH /api/v1/contratos/{id}/plataformas/{id} · POST /api/v1/contratos/{id}/plataformas/{id}</t>
  </si>
  <si>
    <t xml:space="preserve">Solicitar acceso fija las marcas que exige el check. HTTP 200, 409 ; código de error PLATAFORMA_ACTIVA.</t>
  </si>
  <si>
    <t xml:space="preserve">tests/test_contratos.py::test_solicitar_acceso_fija_las_marcas_que_exige_el_check</t>
  </si>
  <si>
    <t xml:space="preserve">CP-CON-11</t>
  </si>
  <si>
    <t xml:space="preserve">Los vinculos incluyen plataformas y los fijos</t>
  </si>
  <si>
    <t xml:space="preserve">GET /api/v1/contratos/{id}/vinculos</t>
  </si>
  <si>
    <t xml:space="preserve">Los vinculos incluyen plataformas y los fijos. HTTP 200.</t>
  </si>
  <si>
    <t xml:space="preserve">tests/test_contratos.py::test_los_vinculos_incluyen_plataformas_y_los_fijos</t>
  </si>
  <si>
    <t xml:space="preserve">CP-CON-12</t>
  </si>
  <si>
    <t xml:space="preserve">El listado mezcla base proyectados y personalizados</t>
  </si>
  <si>
    <t xml:space="preserve">GET /api/v1/contratos/{id}/requisitos · POST /api/v1/contratos/{id}/requisitos</t>
  </si>
  <si>
    <t xml:space="preserve">El listado mezcla base proyectados y personalizados. HTTP 200.</t>
  </si>
  <si>
    <t xml:space="preserve">tests/test_contratos.py::test_el_listado_mezcla_base_proyectados_y_personalizados</t>
  </si>
  <si>
    <t xml:space="preserve">CP-CON-13</t>
  </si>
  <si>
    <t xml:space="preserve">RF-09 / RN-06</t>
  </si>
  <si>
    <t xml:space="preserve">Requisito duplicado por titulo sin distinguir mayusculas</t>
  </si>
  <si>
    <t xml:space="preserve">El índice único usa `lower(titulo)` con NULLS NOT DISTINCT.</t>
  </si>
  <si>
    <t xml:space="preserve">POST /api/v1/contratos/{id}/requisitos</t>
  </si>
  <si>
    <t xml:space="preserve">Requisito duplicado por titulo sin distinguir mayusculas. HTTP 201, 409 ; código de error REQUISITO_DUPLICADO.</t>
  </si>
  <si>
    <t xml:space="preserve">tests/test_contratos.py::test_requisito_duplicado_por_titulo_sin_distinguir_mayusculas</t>
  </si>
  <si>
    <t xml:space="preserve">CP-CON-14</t>
  </si>
  <si>
    <t xml:space="preserve">Bulk omite los duplicados en vez de fallar</t>
  </si>
  <si>
    <t xml:space="preserve">La confirmación de la Carpeta de Arranque repropone lo que ya existe.</t>
  </si>
  <si>
    <t xml:space="preserve">Bulk omite los duplicados en vez de fallar. HTTP 201.</t>
  </si>
  <si>
    <t xml:space="preserve">tests/test_contratos.py::test_bulk_omite_los_duplicados_en_vez_de_fallar</t>
  </si>
  <si>
    <t xml:space="preserve">CP-CON-15</t>
  </si>
  <si>
    <t xml:space="preserve">Cargo id solo aplica a ambito personal</t>
  </si>
  <si>
    <t xml:space="preserve">POST /api/v1/cargos · POST /api/v1/contratos/{id}/requisitos</t>
  </si>
  <si>
    <t xml:space="preserve">Cargo id solo aplica a ambito personal. HTTP 400, 201 ; código de error CARGO_FUERA_DE_AMBITO.</t>
  </si>
  <si>
    <t xml:space="preserve">tests/test_contratos.py::test_cargo_id_solo_aplica_a_ambito_personal</t>
  </si>
  <si>
    <t xml:space="preserve">CP-CON-16</t>
  </si>
  <si>
    <t xml:space="preserve">Vinculo de plataforma exige la referencia</t>
  </si>
  <si>
    <t xml:space="preserve">POST /api/v1/contratos/{id}/requisitos · GET /api/v1/contratos/{id}/plataformas</t>
  </si>
  <si>
    <t xml:space="preserve">Vinculo de plataforma exige la referencia. HTTP 400, 201 ; código de error VINCULO_INVALIDO.</t>
  </si>
  <si>
    <t xml:space="preserve">tests/test_contratos.py::test_vinculo_de_plataforma_exige_la_referencia</t>
  </si>
  <si>
    <t xml:space="preserve">CP-CON-17</t>
  </si>
  <si>
    <t xml:space="preserve">Un requisito base no se edita</t>
  </si>
  <si>
    <t xml:space="preserve">API levantada sobre PostgreSQL 16; Empresa A registrada, aprobada y autenticada; Contrato de la empresa A en Los Pelambres; Requisito base del checklist</t>
  </si>
  <si>
    <t xml:space="preserve">PATCH /api/v1/contratos/{id}/requisitos/{id}</t>
  </si>
  <si>
    <t xml:space="preserve">Un requisito base no se edita. HTTP 403 ; código de error REQUISITO_BASE.</t>
  </si>
  <si>
    <t xml:space="preserve">tests/test_contratos.py::test_un_requisito_base_no_se_edita</t>
  </si>
  <si>
    <t xml:space="preserve">CP-CON-18</t>
  </si>
  <si>
    <t xml:space="preserve">Un requisito base no se borra</t>
  </si>
  <si>
    <t xml:space="preserve">DELETE /api/v1/contratos/{id}/requisitos/{id}</t>
  </si>
  <si>
    <t xml:space="preserve">Un requisito base no se borra. HTTP 403 ; código de error REQUISITO_BASE.</t>
  </si>
  <si>
    <t xml:space="preserve">tests/test_contratos.py::test_un_requisito_base_no_se_borra</t>
  </si>
  <si>
    <t xml:space="preserve">CP-CON-19</t>
  </si>
  <si>
    <t xml:space="preserve">Un requisito custom se edita y se borra</t>
  </si>
  <si>
    <t xml:space="preserve">POST /api/v1/contratos/{id}/requisitos · PATCH /api/v1/contratos/{id}/requisitos/{id} · DELETE /api/v1/contratos/{id}/requisitos/{id}</t>
  </si>
  <si>
    <t xml:space="preserve">Un requisito custom se edita y se borra. HTTP 200.</t>
  </si>
  <si>
    <t xml:space="preserve">tests/test_contratos.py::test_un_requisito_custom_se_edita_y_se_borra</t>
  </si>
  <si>
    <t xml:space="preserve">CP-CON-20</t>
  </si>
  <si>
    <t xml:space="preserve">Requisito retroactivo instancia documentos</t>
  </si>
  <si>
    <t xml:space="preserve">Por defecto un requisito nuevo no toca a los sujetos ya creados.</t>
  </si>
  <si>
    <t xml:space="preserve">POST /api/v1/equipos · POST /api/v1/contratos/{id}/requisitos · POST /api/v1/contratos/{id}/requisitos?aplicar_retroactivo=true · GET /api/v1/documentos?search=Plan de Rescate</t>
  </si>
  <si>
    <t xml:space="preserve">Requisito retroactivo instancia documentos. HTTP 201.</t>
  </si>
  <si>
    <t xml:space="preserve">tests/test_contratos.py::test_requisito_retroactivo_instancia_documentos</t>
  </si>
  <si>
    <t xml:space="preserve">CP-CON-21</t>
  </si>
  <si>
    <t xml:space="preserve">La matriz ordena columnas y es dispersa</t>
  </si>
  <si>
    <t xml:space="preserve">API levantada sobre PostgreSQL 16; Empresa A registrada, aprobada y autenticada; Contrato de la empresa A en Los Pelambres; Contrato con personal y equipos</t>
  </si>
  <si>
    <t xml:space="preserve">GET /api/v1/contratos/{id}/matriz</t>
  </si>
  <si>
    <t xml:space="preserve">La matriz ordena columnas y es dispersa. HTTP 200.</t>
  </si>
  <si>
    <t xml:space="preserve">tests/test_contratos.py::test_la_matriz_ordena_columnas_y_es_dispersa</t>
  </si>
  <si>
    <t xml:space="preserve">CP-CON-22</t>
  </si>
  <si>
    <t xml:space="preserve">La columna n de la matriz es la columna n del excel</t>
  </si>
  <si>
    <t xml:space="preserve">Contrato explícito de §8.4: pantalla y exportación comparten el orden.</t>
  </si>
  <si>
    <t xml:space="preserve">GET /api/v1/contratos/{id}/matriz · POST /api/v1/exportaciones</t>
  </si>
  <si>
    <t xml:space="preserve">La columna n de la matriz es la columna n del excel. HTTP 200.</t>
  </si>
  <si>
    <t xml:space="preserve">tests/test_contratos.py::test_la_columna_n_de_la_matriz_es_la_columna_n_del_excel</t>
  </si>
  <si>
    <t xml:space="preserve">CP-CON-23</t>
  </si>
  <si>
    <t xml:space="preserve">La matriz de equipos solo lleva equipos</t>
  </si>
  <si>
    <t xml:space="preserve">GET /api/v1/contratos/{id}/matriz?tipo=equipo</t>
  </si>
  <si>
    <t xml:space="preserve">La matriz de equipos solo lleva equipos. HTTP 200.</t>
  </si>
  <si>
    <t xml:space="preserve">tests/test_contratos.py::test_la_matriz_de_equipos_solo_lleva_equipos</t>
  </si>
  <si>
    <t xml:space="preserve">CP-CON-24</t>
  </si>
  <si>
    <t xml:space="preserve">La matriz rechaza cargo id con equipos</t>
  </si>
  <si>
    <t xml:space="preserve">POST /api/v1/cargos · GET /api/v1/contratos/{id}/matriz</t>
  </si>
  <si>
    <t xml:space="preserve">La matriz rechaza cargo id con equipos. HTTP 400 ; código de error CARGO_SOLO_PERSONAL.</t>
  </si>
  <si>
    <t xml:space="preserve">tests/test_contratos.py::test_la_matriz_rechaza_cargo_id_con_equipos</t>
  </si>
  <si>
    <t xml:space="preserve">CP-CON-25</t>
  </si>
  <si>
    <t xml:space="preserve">La matriz pagina por filas</t>
  </si>
  <si>
    <t xml:space="preserve">GET /api/v1/contratos/{id}/matriz?page_size=1</t>
  </si>
  <si>
    <t xml:space="preserve">La matriz pagina por filas. HTTP 200.</t>
  </si>
  <si>
    <t xml:space="preserve">tests/test_contratos.py::test_la_matriz_pagina_por_filas</t>
  </si>
  <si>
    <t xml:space="preserve">CP-CON-26</t>
  </si>
  <si>
    <t xml:space="preserve">La matriz refleja un documento aprobado</t>
  </si>
  <si>
    <t xml:space="preserve">GET /api/v1/documentos?sujeto_id={id}&amp;es_emsipor=false · PATCH /api/v1/documentos/{id} · GET /api/v1/contratos/{id}/matriz</t>
  </si>
  <si>
    <t xml:space="preserve">La matriz refleja un documento aprobado.</t>
  </si>
  <si>
    <t xml:space="preserve">tests/test_contratos.py::test_la_matriz_refleja_un_documento_aprobado</t>
  </si>
  <si>
    <t xml:space="preserve">CP-CON-27</t>
  </si>
  <si>
    <t xml:space="preserve">Las vistas del contrato usan la envoltura estandar</t>
  </si>
  <si>
    <t xml:space="preserve">GET /api/v1/contratos/{id}/{id}</t>
  </si>
  <si>
    <t xml:space="preserve">Las vistas del contrato usan la envoltura estandar. HTTP 200.</t>
  </si>
  <si>
    <t xml:space="preserve">tests/test_contratos.py::test_las_vistas_del_contrato_usan_la_envoltura_estandar</t>
  </si>
  <si>
    <t xml:space="preserve">CP-CON-28</t>
  </si>
  <si>
    <t xml:space="preserve">Stats del contrato</t>
  </si>
  <si>
    <t xml:space="preserve">GET /api/v1/contratos/{id}</t>
  </si>
  <si>
    <t xml:space="preserve">Stats del contrato.</t>
  </si>
  <si>
    <t xml:space="preserve">tests/test_contratos.py::test_stats_del_contrato</t>
  </si>
  <si>
    <t xml:space="preserve">CP-DOC-01</t>
  </si>
  <si>
    <t xml:space="preserve">RF-12 / RN-03</t>
  </si>
  <si>
    <t xml:space="preserve">Flujo sas completo</t>
  </si>
  <si>
    <t xml:space="preserve">API levantada sobre PostgreSQL 16; Empresa A registrada, aprobada y autenticada; Documento de requisito del contrato</t>
  </si>
  <si>
    <t xml:space="preserve">POST /api/v1/documentos/{id}/upload-url · POST /api/v1/documentos/{id}/archivos</t>
  </si>
  <si>
    <t xml:space="preserve">Flujo sas completo. HTTP 200, 201.</t>
  </si>
  <si>
    <t xml:space="preserve">tests/test_documentos.py::test_flujo_sas_completo</t>
  </si>
  <si>
    <t xml:space="preserve">CP-DOC-02</t>
  </si>
  <si>
    <t xml:space="preserve">Confirmar dos veces el mismo blob</t>
  </si>
  <si>
    <t xml:space="preserve">POST /api/v1/documentos/{id}/archivos</t>
  </si>
  <si>
    <t xml:space="preserve">Confirmar dos veces el mismo blob. HTTP 409 ; código de error BLOB_YA_REGISTRADO.</t>
  </si>
  <si>
    <t xml:space="preserve">tests/test_documentos.py::test_confirmar_dos_veces_el_mismo_blob</t>
  </si>
  <si>
    <t xml:space="preserve">CP-DOC-03</t>
  </si>
  <si>
    <t xml:space="preserve">Confirmar un blob que no existe</t>
  </si>
  <si>
    <t xml:space="preserve">El `PUT` puede fallar sin que el cliente se entere: la API lo comprueba.</t>
  </si>
  <si>
    <t xml:space="preserve">Confirmar un blob que no existe. HTTP 400 ; código de error BLOB_NO_ENCONTRADO.</t>
  </si>
  <si>
    <t xml:space="preserve">tests/test_documentos.py::test_confirmar_un_blob_que_no_existe</t>
  </si>
  <si>
    <t xml:space="preserve">CP-DOC-04</t>
  </si>
  <si>
    <t xml:space="preserve">Confirmar un blob de otra empresa</t>
  </si>
  <si>
    <t xml:space="preserve">Confusión de rutas: adjuntar el blob de otro tenant a un documento propio.</t>
  </si>
  <si>
    <t xml:space="preserve">API levantada sobre PostgreSQL 16; Empresa A registrada, aprobada y autenticada; Empresa B registrada, aprobada y autenticada; Contrato de la empresa A en Los Pelambres; Contrato de la empresa B; Documento de requisito del contrato</t>
  </si>
  <si>
    <t xml:space="preserve">Confirmar un blob de otra empresa. HTTP 400 ; código de error BLOB_NO_PERMITIDO.</t>
  </si>
  <si>
    <t xml:space="preserve">tests/test_documentos.py::test_confirmar_un_blob_de_otra_empresa</t>
  </si>
  <si>
    <t xml:space="preserve">CP-DOC-05</t>
  </si>
  <si>
    <t xml:space="preserve">Confirmar sin blob path</t>
  </si>
  <si>
    <t xml:space="preserve">Confirmar sin blob path. HTTP 400 ; código de error BLOB_PATH_REQUERIDO.</t>
  </si>
  <si>
    <t xml:space="preserve">tests/test_documentos.py::test_confirmar_sin_blob_path</t>
  </si>
  <si>
    <t xml:space="preserve">CP-DOC-06</t>
  </si>
  <si>
    <t xml:space="preserve">Extension no permitida</t>
  </si>
  <si>
    <t xml:space="preserve">POST /api/v1/documentos/{id}/upload-url</t>
  </si>
  <si>
    <t xml:space="preserve">Extension no permitida. HTTP 400 ; código de error EXTENSION_NO_PERMITIDA.</t>
  </si>
  <si>
    <t xml:space="preserve">tests/test_documentos.py::test_extension_no_permitida</t>
  </si>
  <si>
    <t xml:space="preserve">CP-DOC-07</t>
  </si>
  <si>
    <t xml:space="preserve">Upload url valida el tamano declarado</t>
  </si>
  <si>
    <t xml:space="preserve">Upload url valida el tamano declarado. HTTP 400 ; código de error ARCHIVO_VACIO, ARCHIVO_MUY_GRANDE.</t>
  </si>
  <si>
    <t xml:space="preserve">tests/test_documentos.py::test_upload_url_valida_el_tamano_declarado</t>
  </si>
  <si>
    <t xml:space="preserve">CP-DOC-08</t>
  </si>
  <si>
    <t xml:space="preserve">El put rechaza un cuerpo vacio</t>
  </si>
  <si>
    <t xml:space="preserve">El put rechaza un cuerpo vacio. HTTP 400 ; código de error ARCHIVO_VACIO.</t>
  </si>
  <si>
    <t xml:space="preserve">tests/test_documentos.py::test_el_put_rechaza_un_cuerpo_vacio</t>
  </si>
  <si>
    <t xml:space="preserve">CP-DOC-09</t>
  </si>
  <si>
    <t xml:space="preserve">RF-14</t>
  </si>
  <si>
    <t xml:space="preserve">La revisión ia se aplica en el acto</t>
  </si>
  <si>
    <t xml:space="preserve">Con la cola en proceso el job ya terminó cuando responde la confirmación.</t>
  </si>
  <si>
    <t xml:space="preserve">GET /api/v1/ia/revisiones/{id} · GET /api/v1/documentos/{id}</t>
  </si>
  <si>
    <t xml:space="preserve">La revisión ia se aplica en el acto. HTTP 200.</t>
  </si>
  <si>
    <t xml:space="preserve">tests/test_documentos.py::test_la_revisión_ia_se_aplica_en_el_acto</t>
  </si>
  <si>
    <t xml:space="preserve">CP-DOC-10</t>
  </si>
  <si>
    <t xml:space="preserve">Una revision con errores genera alerta</t>
  </si>
  <si>
    <t xml:space="preserve">Se busca un archivo cuyo veredicto simulado tenga errores.</t>
  </si>
  <si>
    <t xml:space="preserve">GET /api/v1/contratos/{id}/documentos · GET /api/v1/ia/revisiones/{id} · GET /api/v1/alertas?origen=ia</t>
  </si>
  <si>
    <t xml:space="preserve">Una revision con errores genera alerta. HTTP 200.</t>
  </si>
  <si>
    <t xml:space="preserve">tests/test_documentos.py::test_una_revision_con_errores_genera_alerta</t>
  </si>
  <si>
    <t xml:space="preserve">CP-DOC-11</t>
  </si>
  <si>
    <t xml:space="preserve">Revision de otra empresa no es consultable</t>
  </si>
  <si>
    <t xml:space="preserve">API levantada sobre PostgreSQL 16; Empresa A registrada, aprobada y autenticada; Empresa B registrada, aprobada y autenticada; Documento de requisito del contrato</t>
  </si>
  <si>
    <t xml:space="preserve">GET /api/v1/ia/revisiones/{id}</t>
  </si>
  <si>
    <t xml:space="preserve">Revision de otra empresa no es consultable. HTTP 404.</t>
  </si>
  <si>
    <t xml:space="preserve">tests/test_documentos.py::test_revision_de_otra_empresa_no_es_consultable</t>
  </si>
  <si>
    <t xml:space="preserve">CP-DOC-12</t>
  </si>
  <si>
    <t xml:space="preserve">Download url firmada funciona</t>
  </si>
  <si>
    <t xml:space="preserve">GET /api/v1/documentos/{id}/archivos/{id}/download-url</t>
  </si>
  <si>
    <t xml:space="preserve">Download url firmada funciona. HTTP 200.</t>
  </si>
  <si>
    <t xml:space="preserve">tests/test_documentos.py::test_download_url_firmada_funciona</t>
  </si>
  <si>
    <t xml:space="preserve">CP-DOC-13</t>
  </si>
  <si>
    <t xml:space="preserve">Firma manipulada da 403</t>
  </si>
  <si>
    <t xml:space="preserve">Firma manipulada da 403. HTTP 403 ; código de error FIRMA_INVALIDA.</t>
  </si>
  <si>
    <t xml:space="preserve">tests/test_documentos.py::test_firma_manipulada_da_403</t>
  </si>
  <si>
    <t xml:space="preserve">CP-DOC-14</t>
  </si>
  <si>
    <t xml:space="preserve">La firma no sirve para otro blob</t>
  </si>
  <si>
    <t xml:space="preserve">El HMAC cubre (modo, blob_path, exp): no es una llave maestra.</t>
  </si>
  <si>
    <t xml:space="preserve">API levantada sobre PostgreSQL 16; Empresa A registrada, aprobada y autenticada; Empresa B registrada, aprobada y autenticada; Contrato de la empresa B; Documento de requisito del contrato</t>
  </si>
  <si>
    <t xml:space="preserve">La firma no sirve para otro blob. HTTP 403 ; código de error FIRMA_INVALIDA.</t>
  </si>
  <si>
    <t xml:space="preserve">tests/test_documentos.py::test_la_firma_no_sirve_para_otro_blob</t>
  </si>
  <si>
    <t xml:space="preserve">CP-DOC-15</t>
  </si>
  <si>
    <t xml:space="preserve">La firma de escritura no sirve para leer</t>
  </si>
  <si>
    <t xml:space="preserve">El modo va dentro del HMAC: una SAS de escritura no descarga.</t>
  </si>
  <si>
    <t xml:space="preserve">La firma de escritura no sirve para leer. HTTP 403 ; código de error FIRMA_INVALIDA.</t>
  </si>
  <si>
    <t xml:space="preserve">tests/test_documentos.py::test_la_firma_de_escritura_no_sirve_para_leer</t>
  </si>
  <si>
    <t xml:space="preserve">CP-DOC-16</t>
  </si>
  <si>
    <t xml:space="preserve">Borrar el archivo devuelve el documento a falta</t>
  </si>
  <si>
    <t xml:space="preserve">DELETE /api/v1/documentos/{id}/archivos/{id} · GET /api/v1/documentos/{id}/archivos/{id}/download-url</t>
  </si>
  <si>
    <t xml:space="preserve">Borrar el archivo devuelve el documento a falta. HTTP 200, 404.</t>
  </si>
  <si>
    <t xml:space="preserve">tests/test_documentos.py::test_borrar_el_archivo_devuelve_el_documento_a_falta</t>
  </si>
  <si>
    <t xml:space="preserve">CP-DOC-17</t>
  </si>
  <si>
    <t xml:space="preserve">El endpoint de descarga antiguo ya no existe</t>
  </si>
  <si>
    <t xml:space="preserve">§6.2 de RUPTURAS: `/descarga` está eliminado, no deprecado.</t>
  </si>
  <si>
    <t xml:space="preserve">GET /api/v1/documentos/{id}/archivos/{id}/descarga</t>
  </si>
  <si>
    <t xml:space="preserve">El endpoint de descarga antiguo ya no existe. HTTP 404.</t>
  </si>
  <si>
    <t xml:space="preserve">tests/test_documentos.py::test_el_endpoint_de_descarga_antiguo_ya_no_existe</t>
  </si>
  <si>
    <t xml:space="preserve">CP-DOC-18</t>
  </si>
  <si>
    <t xml:space="preserve">Listado transversal tiene la envoltura estandar</t>
  </si>
  <si>
    <t xml:space="preserve">API levantada sobre PostgreSQL 16; Empresa A registrada, aprobada y autenticada; Datos de ejemplo cargados</t>
  </si>
  <si>
    <t xml:space="preserve">GET /api/v1/documentos</t>
  </si>
  <si>
    <t xml:space="preserve">Listado transversal tiene la envoltura estandar. HTTP 200.</t>
  </si>
  <si>
    <t xml:space="preserve">tests/test_documentos.py::test_listado_transversal_tiene_la_envoltura_estandar</t>
  </si>
  <si>
    <t xml:space="preserve">CP-DOC-19</t>
  </si>
  <si>
    <t xml:space="preserve">Listado respeta los filtros</t>
  </si>
  <si>
    <t xml:space="preserve">API levantada sobre PostgreSQL 16; Empresa A registrada, aprobada y autenticada; Datos de ejemplo cargados; Contrato de la empresa A en Los Pelambres</t>
  </si>
  <si>
    <t xml:space="preserve">GET /api/v1/documentos?{id} · GET /api/v1/documentos?sujeto_id={id} · GET /api/v1/documentos?search=SOAP&amp;page_size=100</t>
  </si>
  <si>
    <t xml:space="preserve">Listado respeta los filtros. HTTP 200.</t>
  </si>
  <si>
    <t xml:space="preserve">tests/test_documentos.py::test_listado_respeta_los_filtros</t>
  </si>
  <si>
    <t xml:space="preserve">CP-DOC-20</t>
  </si>
  <si>
    <t xml:space="preserve">Filtros de vencimiento</t>
  </si>
  <si>
    <t xml:space="preserve">GET /api/v1/documentos?sujeto_id={id} · PATCH /api/v1/documentos/{id} · GET /api/v1/documentos?vence_antes={id}&amp;page_size=100 · GET /api/v1/documentos?estado_calc=porvenc&amp;page_size=100</t>
  </si>
  <si>
    <t xml:space="preserve">Filtros de vencimiento. HTTP 200.</t>
  </si>
  <si>
    <t xml:space="preserve">tests/test_documentos.py::test_filtros_de_vencimiento</t>
  </si>
  <si>
    <t xml:space="preserve">CP-DOC-21</t>
  </si>
  <si>
    <t xml:space="preserve">Listado valida los filtros</t>
  </si>
  <si>
    <t xml:space="preserve">GET /api/v1/documentos?{id}</t>
  </si>
  <si>
    <t xml:space="preserve">Listado valida los filtros. HTTP 400.</t>
  </si>
  <si>
    <t xml:space="preserve">tests/test_documentos.py::test_listado_valida_los_filtros</t>
  </si>
  <si>
    <t xml:space="preserve">CP-DOC-22</t>
  </si>
  <si>
    <t xml:space="preserve">Page size por encima del maximo es 422</t>
  </si>
  <si>
    <t xml:space="preserve">GET /api/v1/documentos?page_size=500</t>
  </si>
  <si>
    <t xml:space="preserve">Page size por encima del maximo es 422. HTTP 422.</t>
  </si>
  <si>
    <t xml:space="preserve">tests/test_documentos.py::test_page_size_por_encima_del_maximo_es_422</t>
  </si>
  <si>
    <t xml:space="preserve">CP-DOC-23</t>
  </si>
  <si>
    <t xml:space="preserve">Patch deriva el vencimiento de la plantilla</t>
  </si>
  <si>
    <t xml:space="preserve">Sin fecha, un documento `ok` lo estaría para siempre: se deriva.</t>
  </si>
  <si>
    <t xml:space="preserve">GET /api/v1/contratos/{id}/documentos · PATCH /api/v1/documentos/{id}</t>
  </si>
  <si>
    <t xml:space="preserve">Patch deriva el vencimiento de la plantilla. HTTP 200.</t>
  </si>
  <si>
    <t xml:space="preserve">tests/test_documentos.py::test_patch_deriva_el_vencimiento_de_la_plantilla</t>
  </si>
  <si>
    <t xml:space="preserve">CP-DOC-24</t>
  </si>
  <si>
    <t xml:space="preserve">Patch sin cambios</t>
  </si>
  <si>
    <t xml:space="preserve">PATCH /api/v1/documentos/{id}</t>
  </si>
  <si>
    <t xml:space="preserve">Patch sin cambios. HTTP 400 ; código de error SIN_CAMBIOS.</t>
  </si>
  <si>
    <t xml:space="preserve">tests/test_documentos.py::test_patch_sin_cambios</t>
  </si>
  <si>
    <t xml:space="preserve">CP-DOC-25</t>
  </si>
  <si>
    <t xml:space="preserve">Patch rechaza un estado derivado</t>
  </si>
  <si>
    <t xml:space="preserve">`estado` es la marca manual (ok/falta); `estado_calc` lo calcula el sistema.</t>
  </si>
  <si>
    <t xml:space="preserve">Patch rechaza un estado derivado. HTTP 400 ; código de error TRANSICION_INVALIDA.</t>
  </si>
  <si>
    <t xml:space="preserve">tests/test_documentos.py::test_patch_rechaza_un_estado_derivado</t>
  </si>
  <si>
    <t xml:space="preserve">CP-ESQ-01</t>
  </si>
  <si>
    <t xml:space="preserve">RNF-01 / RNF-02</t>
  </si>
  <si>
    <t xml:space="preserve">Base de datos</t>
  </si>
  <si>
    <t xml:space="preserve">Version de esquema</t>
  </si>
  <si>
    <t xml:space="preserve">01→04 + 06 aplicados equivalen a la versión 6 que la API exige.</t>
  </si>
  <si>
    <t xml:space="preserve">API levantada sobre PostgreSQL 16; Esquema aplicado</t>
  </si>
  <si>
    <t xml:space="preserve">Ver función (usa funciones auxiliares de la suite)</t>
  </si>
  <si>
    <t xml:space="preserve">Version de esquema.</t>
  </si>
  <si>
    <t xml:space="preserve">tests/test_esquema.py::test_version_de_esquema</t>
  </si>
  <si>
    <t xml:space="preserve">CP-ESQ-02</t>
  </si>
  <si>
    <t xml:space="preserve">Health esquema</t>
  </si>
  <si>
    <t xml:space="preserve">GET /health/esquema</t>
  </si>
  <si>
    <t xml:space="preserve">Health esquema. HTTP 200.</t>
  </si>
  <si>
    <t xml:space="preserve">tests/test_esquema.py::test_health_esquema</t>
  </si>
  <si>
    <t xml:space="preserve">CP-ESQ-03</t>
  </si>
  <si>
    <t xml:space="preserve">Rls habilitado y forzado</t>
  </si>
  <si>
    <t xml:space="preserve">Chequeo 1 de 05_verificacion: toda tabla con company_id tiene RLS.</t>
  </si>
  <si>
    <t xml:space="preserve">API levantada sobre PostgreSQL 16; Conexión directa a la base como dueño (para verificar lo que la API no ve)</t>
  </si>
  <si>
    <t xml:space="preserve">Rls habilitado y forzado.</t>
  </si>
  <si>
    <t xml:space="preserve">tests/test_esquema.py::test_rls_habilitado_y_forzado</t>
  </si>
  <si>
    <t xml:space="preserve">CP-ESQ-04</t>
  </si>
  <si>
    <t xml:space="preserve">Foreign keys con indice</t>
  </si>
  <si>
    <t xml:space="preserve">Chequeo 2 de 05_verificacion: ninguna FK sin índice de soporte.</t>
  </si>
  <si>
    <t xml:space="preserve">Foreign keys con indice.</t>
  </si>
  <si>
    <t xml:space="preserve">tests/test_esquema.py::test_foreign_keys_con_indice</t>
  </si>
  <si>
    <t xml:space="preserve">CP-ESQ-05</t>
  </si>
  <si>
    <t xml:space="preserve">Constraints validadas</t>
  </si>
  <si>
    <t xml:space="preserve">Chequeo 3: no quedan constraints NOT VALID pendientes.</t>
  </si>
  <si>
    <t xml:space="preserve">Constraints validadas.</t>
  </si>
  <si>
    <t xml:space="preserve">tests/test_esquema.py::test_constraints_validadas</t>
  </si>
  <si>
    <t xml:space="preserve">CP-ESQ-06</t>
  </si>
  <si>
    <t xml:space="preserve">Indices validos</t>
  </si>
  <si>
    <t xml:space="preserve">Chequeo 13: ningún índice quedó inválido tras la migración.</t>
  </si>
  <si>
    <t xml:space="preserve">Indices validos.</t>
  </si>
  <si>
    <t xml:space="preserve">tests/test_esquema.py::test_indices_validos</t>
  </si>
  <si>
    <t xml:space="preserve">CP-ESQ-07</t>
  </si>
  <si>
    <t xml:space="preserve">Jwe no legible fuera del worker</t>
  </si>
  <si>
    <t xml:space="preserve">Chequeo 17: solo acredittia_worker puede leer el JWE de la credencial.</t>
  </si>
  <si>
    <t xml:space="preserve">Jwe no legible fuera del worker.</t>
  </si>
  <si>
    <t xml:space="preserve">tests/test_esquema.py::test_jwe_no_legible_fuera_del_worker</t>
  </si>
  <si>
    <t xml:space="preserve">CP-ESQ-08</t>
  </si>
  <si>
    <t xml:space="preserve">Api conecta sin bypass de rls</t>
  </si>
  <si>
    <t xml:space="preserve">La suite prueba RLS de verdad: el rol de la API no puede saltarlo.</t>
  </si>
  <si>
    <t xml:space="preserve">API levantada sobre PostgreSQL 16; Conexión directa a la base como dueño (para verificar lo que la API no ve); Esquema aplicado</t>
  </si>
  <si>
    <t xml:space="preserve">Api conecta sin bypass de rls.</t>
  </si>
  <si>
    <t xml:space="preserve">tests/test_esquema.py::test_api_conecta_sin_bypass_de_rls</t>
  </si>
  <si>
    <t xml:space="preserve">CP-ESQ-09</t>
  </si>
  <si>
    <t xml:space="preserve">Tablas append only rechazan update</t>
  </si>
  <si>
    <t xml:space="preserve">Chequeo estructural: `actividad` y `bitacora_cambios` son inmutables.</t>
  </si>
  <si>
    <t xml:space="preserve">API levantada sobre PostgreSQL 16; Conexión directa a la base como dueño (para verificar lo que la API no ve); Empresa A registrada, aprobada y autenticada</t>
  </si>
  <si>
    <t xml:space="preserve">Tablas append only rechazan update.</t>
  </si>
  <si>
    <t xml:space="preserve">tests/test_esquema.py::test_tablas_append_only_rechazan_update</t>
  </si>
  <si>
    <t xml:space="preserve">CP-OPE-01</t>
  </si>
  <si>
    <t xml:space="preserve">RF-13 / RN-02</t>
  </si>
  <si>
    <t xml:space="preserve">Listado de alertas</t>
  </si>
  <si>
    <t xml:space="preserve">API levantada sobre PostgreSQL 16; Empresa A registrada, aprobada y autenticada; Tres alertas generadas para la empresa</t>
  </si>
  <si>
    <t xml:space="preserve">GET /api/v1/alertas</t>
  </si>
  <si>
    <t xml:space="preserve">Listado de alertas. HTTP 200.</t>
  </si>
  <si>
    <t xml:space="preserve">tests/test_operacion.py::test_listado_de_alertas</t>
  </si>
  <si>
    <t xml:space="preserve">CP-OPE-02</t>
  </si>
  <si>
    <t xml:space="preserve">Filtros de alertas</t>
  </si>
  <si>
    <t xml:space="preserve">GET /api/v1/alertas?{id}</t>
  </si>
  <si>
    <t xml:space="preserve">Filtros de alertas. HTTP 200.</t>
  </si>
  <si>
    <t xml:space="preserve">tests/test_operacion.py::test_filtros_de_alertas</t>
  </si>
  <si>
    <t xml:space="preserve">CP-OPE-03</t>
  </si>
  <si>
    <t xml:space="preserve">Filtros invalidos de alertas</t>
  </si>
  <si>
    <t xml:space="preserve">Filtros invalidos de alertas. HTTP 400.</t>
  </si>
  <si>
    <t xml:space="preserve">tests/test_operacion.py::test_filtros_invalidos_de_alertas</t>
  </si>
  <si>
    <t xml:space="preserve">CP-OPE-04</t>
  </si>
  <si>
    <t xml:space="preserve">Resumen de alertas</t>
  </si>
  <si>
    <t xml:space="preserve">GET /api/v1/alertas/resumen</t>
  </si>
  <si>
    <t xml:space="preserve">Resumen de alertas. HTTP 200.</t>
  </si>
  <si>
    <t xml:space="preserve">tests/test_operacion.py::test_resumen_de_alertas</t>
  </si>
  <si>
    <t xml:space="preserve">CP-OPE-05</t>
  </si>
  <si>
    <t xml:space="preserve">Patch de alerta marca y resuelve</t>
  </si>
  <si>
    <t xml:space="preserve">PATCH /api/v1/alertas/{id} · GET /api/v1/alertas · GET /api/v1/alertas?solo_activas=false</t>
  </si>
  <si>
    <t xml:space="preserve">Patch de alerta marca y resuelve. HTTP 200.</t>
  </si>
  <si>
    <t xml:space="preserve">tests/test_operacion.py::test_patch_de_alerta_marca_y_resuelve</t>
  </si>
  <si>
    <t xml:space="preserve">CP-OPE-06</t>
  </si>
  <si>
    <t xml:space="preserve">Patch de alerta sin cambios y estado invalido</t>
  </si>
  <si>
    <t xml:space="preserve">PATCH /api/v1/alertas/{id}</t>
  </si>
  <si>
    <t xml:space="preserve">Patch de alerta sin cambios y estado invalido. HTTP 400 ; código de error SIN_CAMBIOS, ESTADO_INVALIDO.</t>
  </si>
  <si>
    <t xml:space="preserve">tests/test_operacion.py::test_patch_de_alerta_sin_cambios_y_estado_invalido</t>
  </si>
  <si>
    <t xml:space="preserve">CP-OPE-07</t>
  </si>
  <si>
    <t xml:space="preserve">RNF-06</t>
  </si>
  <si>
    <t xml:space="preserve">Marcar leidas deja rastro en actividad</t>
  </si>
  <si>
    <t xml:space="preserve">POST /api/v1/alertas/marcar-leidas · GET /api/v1/alertas?leida=true · GET /api/v1/actividad?modulo=alertas&amp;page_size=100</t>
  </si>
  <si>
    <t xml:space="preserve">Marcar leidas deja rastro en actividad. HTTP 200.</t>
  </si>
  <si>
    <t xml:space="preserve">tests/test_operacion.py::test_marcar_leidas_deja_rastro_en_actividad</t>
  </si>
  <si>
    <t xml:space="preserve">CP-OPE-08</t>
  </si>
  <si>
    <t xml:space="preserve">RF-17</t>
  </si>
  <si>
    <t xml:space="preserve">Marcar leidas solo las indicadas</t>
  </si>
  <si>
    <t xml:space="preserve">POST /api/v1/alertas/marcar-leidas · GET /api/v1/alertas?leida=true</t>
  </si>
  <si>
    <t xml:space="preserve">Marcar leidas solo las indicadas. HTTP 200.</t>
  </si>
  <si>
    <t xml:space="preserve">tests/test_operacion.py::test_marcar_leidas_solo_las_indicadas</t>
  </si>
  <si>
    <t xml:space="preserve">CP-OPE-09</t>
  </si>
  <si>
    <t xml:space="preserve">Kpis</t>
  </si>
  <si>
    <t xml:space="preserve">API levantada sobre PostgreSQL 16; Empresa A registrada, aprobada y autenticada; Contrato de la empresa A en Los Pelambres; Trabajador conductor dado de alta en el contrato; Tres alertas generadas para la empresa</t>
  </si>
  <si>
    <t xml:space="preserve">GET /api/v1/dashboard/kpis</t>
  </si>
  <si>
    <t xml:space="preserve">Kpis. HTTP 200.</t>
  </si>
  <si>
    <t xml:space="preserve">tests/test_operacion.py::test_kpis</t>
  </si>
  <si>
    <t xml:space="preserve">CP-OPE-10</t>
  </si>
  <si>
    <t xml:space="preserve">Acreditaciones estado</t>
  </si>
  <si>
    <t xml:space="preserve">API levantada sobre PostgreSQL 16; Empresa A registrada, aprobada y autenticada; Trabajador conductor dado de alta en el contrato</t>
  </si>
  <si>
    <t xml:space="preserve">GET /api/v1/dashboard/acreditaciones-estado</t>
  </si>
  <si>
    <t xml:space="preserve">Acreditaciones estado. HTTP 200.</t>
  </si>
  <si>
    <t xml:space="preserve">tests/test_operacion.py::test_acreditaciones_estado</t>
  </si>
  <si>
    <t xml:space="preserve">CP-OPE-11</t>
  </si>
  <si>
    <t xml:space="preserve">Listados del dashboard usan la envoltura</t>
  </si>
  <si>
    <t xml:space="preserve">API levantada sobre PostgreSQL 16; Empresa A registrada, aprobada y autenticada; Contrato de la empresa A en Los Pelambres; Trabajador conductor dado de alta en el contrato</t>
  </si>
  <si>
    <t xml:space="preserve">GET /api/v1/dashboard/{id}</t>
  </si>
  <si>
    <t xml:space="preserve">Listados del dashboard usan la envoltura. HTTP 200.</t>
  </si>
  <si>
    <t xml:space="preserve">tests/test_operacion.py::test_listados_del_dashboard_usan_la_envoltura</t>
  </si>
  <si>
    <t xml:space="preserve">CP-OPE-12</t>
  </si>
  <si>
    <t xml:space="preserve">Cumplimiento contratos lleva faena id</t>
  </si>
  <si>
    <t xml:space="preserve">GET /api/v1/dashboard/cumplimiento-contratos</t>
  </si>
  <si>
    <t xml:space="preserve">Cumplimiento contratos lleva faena id.</t>
  </si>
  <si>
    <t xml:space="preserve">tests/test_operacion.py::test_cumplimiento_contratos_lleva_faena_id</t>
  </si>
  <si>
    <t xml:space="preserve">CP-OPE-13</t>
  </si>
  <si>
    <t xml:space="preserve">Actividad del dashboard ignora limit</t>
  </si>
  <si>
    <t xml:space="preserve">§8 de RUPTURAS: `limit` desapareció; se pagina como todo lo demás.</t>
  </si>
  <si>
    <t xml:space="preserve">GET /api/v1/dashboard/actividad?limit=1&amp;page_size=2</t>
  </si>
  <si>
    <t xml:space="preserve">Actividad del dashboard ignora limit. HTTP 200.</t>
  </si>
  <si>
    <t xml:space="preserve">tests/test_operacion.py::test_actividad_del_dashboard_ignora_limit</t>
  </si>
  <si>
    <t xml:space="preserve">CP-OPE-14</t>
  </si>
  <si>
    <t xml:space="preserve">Proximos vencimientos</t>
  </si>
  <si>
    <t xml:space="preserve">GET /api/v1/documentos?sujeto_id={id} · PATCH /api/v1/documentos/{id} · GET /api/v1/dashboard/proximos-vencimientos?dias=30 · GET /api/v1/dashboard/proximos-vencimientos?dias=7</t>
  </si>
  <si>
    <t xml:space="preserve">Proximos vencimientos. HTTP 200.</t>
  </si>
  <si>
    <t xml:space="preserve">tests/test_operacion.py::test_proximos_vencimientos</t>
  </si>
  <si>
    <t xml:space="preserve">CP-OPE-15</t>
  </si>
  <si>
    <t xml:space="preserve">Tendencia sin snapshots omite actual y anterior</t>
  </si>
  <si>
    <t xml:space="preserve">Contrato explícito de §8: el frontend comprueba la presencia de claves.</t>
  </si>
  <si>
    <t xml:space="preserve">GET /api/v1/dashboard/tendencia</t>
  </si>
  <si>
    <t xml:space="preserve">Tendencia sin snapshots omite actual y anterior. HTTP 200.</t>
  </si>
  <si>
    <t xml:space="preserve">tests/test_operacion.py::test_tendencia_sin_snapshots_omite_actual_y_anterior</t>
  </si>
  <si>
    <t xml:space="preserve">CP-OPE-16</t>
  </si>
  <si>
    <t xml:space="preserve">Tendencia con un solo periodo omite anterior</t>
  </si>
  <si>
    <t xml:space="preserve">GET /api/v1/dashboard/tendencia?periodo=trimestre</t>
  </si>
  <si>
    <t xml:space="preserve">Tendencia con un solo periodo omite anterior. HTTP 200.</t>
  </si>
  <si>
    <t xml:space="preserve">tests/test_operacion.py::test_tendencia_con_un_solo_periodo_omite_anterior</t>
  </si>
  <si>
    <t xml:space="preserve">CP-OPE-17</t>
  </si>
  <si>
    <t xml:space="preserve">Tendencia con dos periodos calcula el delta</t>
  </si>
  <si>
    <t xml:space="preserve">GET /api/v1/dashboard/tendencia?periodo=mes</t>
  </si>
  <si>
    <t xml:space="preserve">Tendencia con dos periodos calcula el delta. HTTP 200.</t>
  </si>
  <si>
    <t xml:space="preserve">tests/test_operacion.py::test_tendencia_con_dos_periodos_calcula_el_delta</t>
  </si>
  <si>
    <t xml:space="preserve">CP-OPE-18</t>
  </si>
  <si>
    <t xml:space="preserve">Tendencia por faena agrega por documentos</t>
  </si>
  <si>
    <t xml:space="preserve">Se recalcula `docs_ok/docs_total`, no se promedian porcentajes.</t>
  </si>
  <si>
    <t xml:space="preserve">API levantada sobre PostgreSQL 16; Empresa A registrada, aprobada y autenticada; Contrato de la empresa A en Los Pelambres; Faena Los Pelambres en el catálogo</t>
  </si>
  <si>
    <t xml:space="preserve">Tendencia por faena agrega por documentos. HTTP 200.</t>
  </si>
  <si>
    <t xml:space="preserve">tests/test_operacion.py::test_tendencia_por_faena_agrega_por_documentos</t>
  </si>
  <si>
    <t xml:space="preserve">CP-OPE-19</t>
  </si>
  <si>
    <t xml:space="preserve">Tendencia valida los parametros</t>
  </si>
  <si>
    <t xml:space="preserve">GET /api/v1/dashboard/tendencia?{id}</t>
  </si>
  <si>
    <t xml:space="preserve">Tendencia valida los parametros. HTTP 400.</t>
  </si>
  <si>
    <t xml:space="preserve">tests/test_operacion.py::test_tendencia_valida_los_parametros</t>
  </si>
  <si>
    <t xml:space="preserve">CP-OPE-20</t>
  </si>
  <si>
    <t xml:space="preserve">Tendencia rechaza contrato y faena a la vez</t>
  </si>
  <si>
    <t xml:space="preserve">Tendencia rechaza contrato y faena a la vez. HTTP 400 ; código de error FILTRO_AMBIGUO.</t>
  </si>
  <si>
    <t xml:space="preserve">tests/test_operacion.py::test_tendencia_rechaza_contrato_y_faena_a_la_vez</t>
  </si>
  <si>
    <t xml:space="preserve">CP-OPE-21</t>
  </si>
  <si>
    <t xml:space="preserve">Los snapshots son inmutables</t>
  </si>
  <si>
    <t xml:space="preserve">API levantada sobre PostgreSQL 16; Empresa A registrada, aprobada y autenticada; Contrato de la empresa A en Los Pelambres; Conexión directa a la base como dueño (para verificar lo que la API no ve)</t>
  </si>
  <si>
    <t xml:space="preserve">Los snapshots son inmutables.</t>
  </si>
  <si>
    <t xml:space="preserve">tests/test_operacion.py::test_los_snapshots_son_inmutables</t>
  </si>
  <si>
    <t xml:space="preserve">CP-OPE-22</t>
  </si>
  <si>
    <t xml:space="preserve">Un snapshot por empresa contrato y fecha</t>
  </si>
  <si>
    <t xml:space="preserve">`ux_snapshot` es UNIQUE NULLS NOT DISTINCT: la fila agregada también.</t>
  </si>
  <si>
    <t xml:space="preserve">Un snapshot por empresa contrato y fecha.</t>
  </si>
  <si>
    <t xml:space="preserve">tests/test_operacion.py::test_un_snapshot_por_empresa_contrato_y_fecha</t>
  </si>
  <si>
    <t xml:space="preserve">CP-OPE-23</t>
  </si>
  <si>
    <t xml:space="preserve">Calendario proyecta los vencimientos</t>
  </si>
  <si>
    <t xml:space="preserve">GET /api/v1/documentos?sujeto_id={id} · PATCH /api/v1/documentos/{id} · GET /api/v1/calendario/eventos?desde={id}&amp;hasta={id}</t>
  </si>
  <si>
    <t xml:space="preserve">Calendario proyecta los vencimientos. HTTP 200.</t>
  </si>
  <si>
    <t xml:space="preserve">tests/test_operacion.py::test_calendario_proyecta_los_vencimientos</t>
  </si>
  <si>
    <t xml:space="preserve">CP-OPE-24</t>
  </si>
  <si>
    <t xml:space="preserve">Crear editar y borrar un evento manual</t>
  </si>
  <si>
    <t xml:space="preserve">POST /api/v1/calendario/eventos · PATCH /api/v1/calendario/eventos/{id} · DELETE /api/v1/calendario/eventos/{id}</t>
  </si>
  <si>
    <t xml:space="preserve">Crear editar y borrar un evento manual. HTTP 201, 200, 400 ; código de error SIN_CAMBIOS.</t>
  </si>
  <si>
    <t xml:space="preserve">tests/test_operacion.py::test_crear_editar_y_borrar_un_evento_manual</t>
  </si>
  <si>
    <t xml:space="preserve">CP-OPE-25</t>
  </si>
  <si>
    <t xml:space="preserve">La categoria vencimiento esta reservada</t>
  </si>
  <si>
    <t xml:space="preserve">Un evento manual con esa categoría duplicaría la proyección.</t>
  </si>
  <si>
    <t xml:space="preserve">POST /api/v1/calendario/eventos</t>
  </si>
  <si>
    <t xml:space="preserve">La categoria vencimiento esta reservada. HTTP 400 ; código de error CATEGORIA_RESERVADA.</t>
  </si>
  <si>
    <t xml:space="preserve">tests/test_operacion.py::test_la_categoria_vencimiento_esta_reservada</t>
  </si>
  <si>
    <t xml:space="preserve">CP-OPE-26</t>
  </si>
  <si>
    <t xml:space="preserve">Categoria inexistente</t>
  </si>
  <si>
    <t xml:space="preserve">Categoria inexistente. HTTP 400 ; código de error CATEGORIA_INVALIDA.</t>
  </si>
  <si>
    <t xml:space="preserve">tests/test_operacion.py::test_categoria_inexistente</t>
  </si>
  <si>
    <t xml:space="preserve">CP-OPE-27</t>
  </si>
  <si>
    <t xml:space="preserve">Titulo del evento obligatorio</t>
  </si>
  <si>
    <t xml:space="preserve">Titulo del evento obligatorio. HTTP 400 ; código de error TITULO_REQUERIDO.</t>
  </si>
  <si>
    <t xml:space="preserve">tests/test_operacion.py::test_titulo_del_evento_obligatorio</t>
  </si>
  <si>
    <t xml:space="preserve">CP-OPE-28</t>
  </si>
  <si>
    <t xml:space="preserve">El calendario exige un rango razonable</t>
  </si>
  <si>
    <t xml:space="preserve">GET /api/v1/calendario/eventos?desde={id} · GET /api/v1/calendario/eventos</t>
  </si>
  <si>
    <t xml:space="preserve">El calendario exige un rango razonable. HTTP 400, 422 ; código de error RANGO_INVALIDO, RANGO_DEMASIADO_AMPLIO.</t>
  </si>
  <si>
    <t xml:space="preserve">tests/test_operacion.py::test_el_calendario_exige_un_rango_razonable</t>
  </si>
  <si>
    <t xml:space="preserve">CP-OPE-29</t>
  </si>
  <si>
    <t xml:space="preserve">Actividad registra las mutaciones</t>
  </si>
  <si>
    <t xml:space="preserve">GET /api/v1/actividad?page_size=100</t>
  </si>
  <si>
    <t xml:space="preserve">Actividad registra las mutaciones. HTTP 200.</t>
  </si>
  <si>
    <t xml:space="preserve">tests/test_operacion.py::test_actividad_registra_las_mutaciones</t>
  </si>
  <si>
    <t xml:space="preserve">CP-OPE-30</t>
  </si>
  <si>
    <t xml:space="preserve">Filtros de actividad</t>
  </si>
  <si>
    <t xml:space="preserve">GET /api/v1/actividad?modulo=personal&amp;page_size=100 · GET /api/v1/actividad?tipo=creacion&amp;page_size=100 · GET /api/v1/actividad?desde={id}&amp;hasta={id}&amp;page_size=100 · GET /api/v1/actividad?desde={id}&amp;hasta={id}</t>
  </si>
  <si>
    <t xml:space="preserve">Filtros de actividad. HTTP 200.</t>
  </si>
  <si>
    <t xml:space="preserve">tests/test_operacion.py::test_filtros_de_actividad</t>
  </si>
  <si>
    <t xml:space="preserve">CP-OPE-31</t>
  </si>
  <si>
    <t xml:space="preserve">Actividad por contrato</t>
  </si>
  <si>
    <t xml:space="preserve">GET /api/v1/actividad?contrato_id={id}</t>
  </si>
  <si>
    <t xml:space="preserve">Actividad por contrato. HTTP 200.</t>
  </si>
  <si>
    <t xml:space="preserve">tests/test_operacion.py::test_actividad_por_contrato</t>
  </si>
  <si>
    <t xml:space="preserve">CP-OPE-32</t>
  </si>
  <si>
    <t xml:space="preserve">La actividad es inmutable</t>
  </si>
  <si>
    <t xml:space="preserve">API levantada sobre PostgreSQL 16; Conexión directa a la base como dueño (para verificar lo que la API no ve); Empresa A registrada, aprobada y autenticada; Contrato de la empresa A en Los Pelambres</t>
  </si>
  <si>
    <t xml:space="preserve">La actividad es inmutable.</t>
  </si>
  <si>
    <t xml:space="preserve">tests/test_operacion.py::test_la_actividad_es_inmutable</t>
  </si>
  <si>
    <t xml:space="preserve">CP-OPE-33</t>
  </si>
  <si>
    <t xml:space="preserve">Vista de requisitos</t>
  </si>
  <si>
    <t xml:space="preserve">GET /api/v1/requisitos?page_size=100 · GET /api/v1/requisitos?ambito=equipo&amp;page_size=100</t>
  </si>
  <si>
    <t xml:space="preserve">Vista de requisitos. HTTP 200.</t>
  </si>
  <si>
    <t xml:space="preserve">tests/test_operacion.py::test_vista_de_requisitos</t>
  </si>
  <si>
    <t xml:space="preserve">CP-OPE-34</t>
  </si>
  <si>
    <t xml:space="preserve">Catalogo de plantillas</t>
  </si>
  <si>
    <t xml:space="preserve">GET /api/v1/requisitos/templates?page_size=100</t>
  </si>
  <si>
    <t xml:space="preserve">Catalogo de plantillas. HTTP 200.</t>
  </si>
  <si>
    <t xml:space="preserve">tests/test_operacion.py::test_catalogo_de_plantillas</t>
  </si>
  <si>
    <t xml:space="preserve">CP-OPE-35</t>
  </si>
  <si>
    <t xml:space="preserve">Preferencias devuelven los defectos</t>
  </si>
  <si>
    <t xml:space="preserve">GET /api/v1/notificaciones/preferencias</t>
  </si>
  <si>
    <t xml:space="preserve">Preferencias devuelven los defectos. HTTP 200.</t>
  </si>
  <si>
    <t xml:space="preserve">tests/test_operacion.py::test_preferencias_devuelven_los_defectos</t>
  </si>
  <si>
    <t xml:space="preserve">CP-OPE-36</t>
  </si>
  <si>
    <t xml:space="preserve">Editar preferencias</t>
  </si>
  <si>
    <t xml:space="preserve">PATCH /api/v1/notificaciones/preferencias</t>
  </si>
  <si>
    <t xml:space="preserve">Editar preferencias. HTTP 200, 400.</t>
  </si>
  <si>
    <t xml:space="preserve">tests/test_operacion.py::test_editar_preferencias</t>
  </si>
  <si>
    <t xml:space="preserve">CP-OPE-37</t>
  </si>
  <si>
    <t xml:space="preserve">El contract admin ve solo su operacion</t>
  </si>
  <si>
    <t xml:space="preserve">API levantada sobre PostgreSQL 16; Empresa A registrada, aprobada y autenticada; Contrato de la empresa A en Los Pelambres; Faena Los Pelambres en el catálogo; Trabajador conductor dado de alta en el contrato</t>
  </si>
  <si>
    <t xml:space="preserve">POST /api/v1/personal · GET /api/v1/dashboard/kpis · GET /api/v1/dashboard/cumplimiento-contratos · GET /api/v1/dashboard/tendencia?contrato_id={id} …</t>
  </si>
  <si>
    <t xml:space="preserve">El contract admin ve solo su operacion. HTTP 200, 404.</t>
  </si>
  <si>
    <t xml:space="preserve">tests/test_operacion.py::test_el_contract_admin_ve_solo_su_operacion</t>
  </si>
  <si>
    <t xml:space="preserve">CP-REP-01</t>
  </si>
  <si>
    <t xml:space="preserve">RF-18</t>
  </si>
  <si>
    <t xml:space="preserve">Generar cada tipo de reporte</t>
  </si>
  <si>
    <t xml:space="preserve">POST /api/v1/reportes · GET /api/v1/reportes/{id} · GET /api/v1/reportes/{id}/download-url</t>
  </si>
  <si>
    <t xml:space="preserve">Generar cada tipo de reporte. HTTP 202, 200.</t>
  </si>
  <si>
    <t xml:space="preserve">tests/test_reportes.py::test_generar_cada_tipo_de_reporte</t>
  </si>
  <si>
    <t xml:space="preserve">CP-REP-02</t>
  </si>
  <si>
    <t xml:space="preserve">Listado de reportes</t>
  </si>
  <si>
    <t xml:space="preserve">POST /api/v1/reportes · GET /api/v1/reportes · GET /api/v1/reportes?tipo=vencimientos · GET /api/v1/reportes?formato=pdf</t>
  </si>
  <si>
    <t xml:space="preserve">Listado de reportes. HTTP 200.</t>
  </si>
  <si>
    <t xml:space="preserve">tests/test_reportes.py::test_listado_de_reportes</t>
  </si>
  <si>
    <t xml:space="preserve">CP-REP-03</t>
  </si>
  <si>
    <t xml:space="preserve">La matriz no se persiste como reporte</t>
  </si>
  <si>
    <t xml:space="preserve">El enum `reporte_tipo` de la BD no tiene 'matriz_cumplimiento'.</t>
  </si>
  <si>
    <t xml:space="preserve">POST /api/v1/reportes</t>
  </si>
  <si>
    <t xml:space="preserve">La matriz no se persiste como reporte. HTTP 400 ; código de error TIPO_NO_SOPORTADO.</t>
  </si>
  <si>
    <t xml:space="preserve">tests/test_reportes.py::test_la_matriz_no_se_persiste_como_reporte</t>
  </si>
  <si>
    <t xml:space="preserve">CP-REP-04</t>
  </si>
  <si>
    <t xml:space="preserve">Generar valida tipo y formato</t>
  </si>
  <si>
    <t xml:space="preserve">Generar valida tipo y formato. HTTP 400.</t>
  </si>
  <si>
    <t xml:space="preserve">tests/test_reportes.py::test_generar_valida_tipo_y_formato</t>
  </si>
  <si>
    <t xml:space="preserve">CP-REP-05</t>
  </si>
  <si>
    <t xml:space="preserve">Download url de un reporte inexistente</t>
  </si>
  <si>
    <t xml:space="preserve">GET /api/v1/reportes/{id}/download-url</t>
  </si>
  <si>
    <t xml:space="preserve">Download url de un reporte inexistente. HTTP 404.</t>
  </si>
  <si>
    <t xml:space="preserve">tests/test_reportes.py::test_download_url_de_un_reporte_inexistente</t>
  </si>
  <si>
    <t xml:space="preserve">CP-REP-06</t>
  </si>
  <si>
    <t xml:space="preserve">El contract admin no accede a reportes</t>
  </si>
  <si>
    <t xml:space="preserve">Un informe agregado de la empresa le mostraría datos de otros contratos.</t>
  </si>
  <si>
    <t xml:space="preserve">El contract admin no accede a reportes. HTTP 403 ; código de error ROL_INSUFICIENTE.</t>
  </si>
  <si>
    <t xml:space="preserve">tests/test_reportes.py::test_el_contract_admin_no_accede_a_reportes</t>
  </si>
  <si>
    <t xml:space="preserve">CP-REP-07</t>
  </si>
  <si>
    <t xml:space="preserve">Ciclo de vida de un programado</t>
  </si>
  <si>
    <t xml:space="preserve">POST /api/v1/reportes/programados · GET /api/v1/reportes/programados · PATCH /api/v1/reportes/programados/{id} · GET /api/v1/reportes/programados?activo=false …</t>
  </si>
  <si>
    <t xml:space="preserve">Ciclo de vida de un programado. HTTP 201, 200, 400 ; código de error SIN_CAMBIOS.</t>
  </si>
  <si>
    <t xml:space="preserve">tests/test_reportes.py::test_ciclo_de_vida_de_un_programado</t>
  </si>
  <si>
    <t xml:space="preserve">CP-REP-08</t>
  </si>
  <si>
    <t xml:space="preserve">Cron valido</t>
  </si>
  <si>
    <t xml:space="preserve">API levantada sobre PostgreSQL 16; Empresa A registrada, aprobada y autenticada; Job de vencimientos disponible</t>
  </si>
  <si>
    <t xml:space="preserve">POST /api/v1/reportes/programados</t>
  </si>
  <si>
    <t xml:space="preserve">Cron valido. HTTP 201.</t>
  </si>
  <si>
    <t xml:space="preserve">tests/test_reportes.py::test_cron_valido</t>
  </si>
  <si>
    <t xml:space="preserve">CP-REP-09</t>
  </si>
  <si>
    <t xml:space="preserve">Cron invalido</t>
  </si>
  <si>
    <t xml:space="preserve">Cron invalido. HTTP 400 ; código de error CRON_INVALIDO.</t>
  </si>
  <si>
    <t xml:space="preserve">tests/test_reportes.py::test_cron_invalido</t>
  </si>
  <si>
    <t xml:space="preserve">CP-REP-10</t>
  </si>
  <si>
    <t xml:space="preserve">Programado inexistente</t>
  </si>
  <si>
    <t xml:space="preserve">PATCH /api/v1/reportes/programados/{id}</t>
  </si>
  <si>
    <t xml:space="preserve">Programado inexistente. HTTP 404.</t>
  </si>
  <si>
    <t xml:space="preserve">tests/test_reportes.py::test_programado_inexistente</t>
  </si>
  <si>
    <t xml:space="preserve">CP-REP-11</t>
  </si>
  <si>
    <t xml:space="preserve">Exportar cada recurso en csv</t>
  </si>
  <si>
    <t xml:space="preserve">POST /api/v1/exportaciones</t>
  </si>
  <si>
    <t xml:space="preserve">Exportar cada recurso en csv. HTTP 200.</t>
  </si>
  <si>
    <t xml:space="preserve">tests/test_reportes.py::test_exportar_cada_recurso_en_csv</t>
  </si>
  <si>
    <t xml:space="preserve">CP-REP-12</t>
  </si>
  <si>
    <t xml:space="preserve">Exportar en excel</t>
  </si>
  <si>
    <t xml:space="preserve">Exportar en excel. HTTP 200.</t>
  </si>
  <si>
    <t xml:space="preserve">tests/test_reportes.py::test_exportar_en_excel</t>
  </si>
  <si>
    <t xml:space="preserve">CP-REP-13</t>
  </si>
  <si>
    <t xml:space="preserve">La exportacion de matriz exige contrato</t>
  </si>
  <si>
    <t xml:space="preserve">La exportacion de matriz exige contrato. HTTP 400 ; código de error CONTRATO_REQUERIDO.</t>
  </si>
  <si>
    <t xml:space="preserve">tests/test_reportes.py::test_la_exportacion_de_matriz_exige_contrato</t>
  </si>
  <si>
    <t xml:space="preserve">CP-REP-14</t>
  </si>
  <si>
    <t xml:space="preserve">La exportacion respeta los filtros</t>
  </si>
  <si>
    <t xml:space="preserve">La exportacion respeta los filtros. HTTP 200.</t>
  </si>
  <si>
    <t xml:space="preserve">tests/test_reportes.py::test_la_exportacion_respeta_los_filtros</t>
  </si>
  <si>
    <t xml:space="preserve">CP-REP-15</t>
  </si>
  <si>
    <t xml:space="preserve">Exportar valida recurso y formato</t>
  </si>
  <si>
    <t xml:space="preserve">Exportar valida recurso y formato. HTTP 400.</t>
  </si>
  <si>
    <t xml:space="preserve">tests/test_reportes.py::test_exportar_valida_recurso_y_formato</t>
  </si>
  <si>
    <t xml:space="preserve">CP-REP-16</t>
  </si>
  <si>
    <t xml:space="preserve">La exportacion y el reporte producen la misma tabla</t>
  </si>
  <si>
    <t xml:space="preserve">`filas_de_recurso()` es la única fuente: si divergiera, el mismo listado saldría distinto según su tamaño.</t>
  </si>
  <si>
    <t xml:space="preserve">POST /api/v1/exportaciones · POST /api/v1/reportes · GET /api/v1/reportes/{id}/download-url</t>
  </si>
  <si>
    <t xml:space="preserve">La exportacion y el reporte producen la misma tabla. HTTP 200, 202.</t>
  </si>
  <si>
    <t xml:space="preserve">tests/test_reportes.py::test_la_exportacion_y_el_reporte_producen_la_misma_tabla</t>
  </si>
  <si>
    <t xml:space="preserve">CP-REP-17</t>
  </si>
  <si>
    <t xml:space="preserve">La exportacion deja rastro en actividad</t>
  </si>
  <si>
    <t xml:space="preserve">POST /api/v1/exportaciones · GET /api/v1/actividad?modulo=reportes&amp;page_size=100</t>
  </si>
  <si>
    <t xml:space="preserve">La exportacion deja rastro en actividad. HTTP 200.</t>
  </si>
  <si>
    <t xml:space="preserve">tests/test_reportes.py::test_la_exportacion_deja_rastro_en_actividad</t>
  </si>
  <si>
    <t xml:space="preserve">CP-REP-18</t>
  </si>
  <si>
    <t xml:space="preserve">La url de exportacion esta firmada</t>
  </si>
  <si>
    <t xml:space="preserve">La url de exportacion esta firmada. HTTP 403 ; código de error FIRMA_INVALIDA.</t>
  </si>
  <si>
    <t xml:space="preserve">tests/test_reportes.py::test_la_url_de_exportacion_esta_firmada</t>
  </si>
  <si>
    <t xml:space="preserve">CP-SUJ-01</t>
  </si>
  <si>
    <t xml:space="preserve">RF-10</t>
  </si>
  <si>
    <t xml:space="preserve">Alta con cargo texto crea el cargo</t>
  </si>
  <si>
    <t xml:space="preserve">POST /api/v1/personal · GET /api/v1/cargos?page_size=100</t>
  </si>
  <si>
    <t xml:space="preserve">Alta con cargo texto crea el cargo. HTTP 201.</t>
  </si>
  <si>
    <t xml:space="preserve">tests/test_sujetos.py::test_alta_con_cargo_texto_crea_el_cargo</t>
  </si>
  <si>
    <t xml:space="preserve">CP-SUJ-02</t>
  </si>
  <si>
    <t xml:space="preserve">Alta con cargo id no crea nada</t>
  </si>
  <si>
    <t xml:space="preserve">POST /api/v1/cargos · POST /api/v1/personal · GET /api/v1/cargos?page_size=100</t>
  </si>
  <si>
    <t xml:space="preserve">Alta con cargo id no crea nada. HTTP 201.</t>
  </si>
  <si>
    <t xml:space="preserve">tests/test_sujetos.py::test_alta_con_cargo_id_no_crea_nada</t>
  </si>
  <si>
    <t xml:space="preserve">CP-SUJ-03</t>
  </si>
  <si>
    <t xml:space="preserve">El texto del cargo se deduplica sin tildes ni mayusculas</t>
  </si>
  <si>
    <t xml:space="preserve">`nombre_normalizado` es la clave única (company_id, normalizado).</t>
  </si>
  <si>
    <t xml:space="preserve">POST /api/v1/personal</t>
  </si>
  <si>
    <t xml:space="preserve">El texto del cargo se deduplica sin tildes ni mayusculas.</t>
  </si>
  <si>
    <t xml:space="preserve">tests/test_sujetos.py::test_el_texto_del_cargo_se_deduplica_sin_tildes_ni_mayusculas</t>
  </si>
  <si>
    <t xml:space="preserve">CP-SUJ-04</t>
  </si>
  <si>
    <t xml:space="preserve">Cargo id de otra empresa</t>
  </si>
  <si>
    <t xml:space="preserve">API levantada sobre PostgreSQL 16; Empresa A registrada, aprobada y autenticada; Empresa B registrada, aprobada y autenticada; Contrato de la empresa A en Los Pelambres; Contrato de la empresa B</t>
  </si>
  <si>
    <t xml:space="preserve">POST /api/v1/cargos · POST /api/v1/personal</t>
  </si>
  <si>
    <t xml:space="preserve">Cargo id de otra empresa. HTTP 400 ; código de error CARGO_INEXISTENTE.</t>
  </si>
  <si>
    <t xml:space="preserve">tests/test_sujetos.py::test_cargo_id_de_otra_empresa</t>
  </si>
  <si>
    <t xml:space="preserve">CP-SUJ-05</t>
  </si>
  <si>
    <t xml:space="preserve">Rut invalido</t>
  </si>
  <si>
    <t xml:space="preserve">Rut invalido. HTTP 422 ; código de error RUT_INVALIDO.</t>
  </si>
  <si>
    <t xml:space="preserve">tests/test_sujetos.py::test_rut_invalido</t>
  </si>
  <si>
    <t xml:space="preserve">CP-SUJ-06</t>
  </si>
  <si>
    <t xml:space="preserve">Rut duplicado activo en el mismo contrato</t>
  </si>
  <si>
    <t xml:space="preserve">Rut duplicado activo en el mismo contrato. HTTP 201, 409 ; código de error RUT_DUPLICADO.</t>
  </si>
  <si>
    <t xml:space="preserve">tests/test_sujetos.py::test_rut_duplicado_activo_en_el_mismo_contrato</t>
  </si>
  <si>
    <t xml:space="preserve">CP-SUJ-07</t>
  </si>
  <si>
    <t xml:space="preserve">Tras la baja el rut se puede reingresar</t>
  </si>
  <si>
    <t xml:space="preserve">El índice único es parcial (`estado &lt;&gt; 'baja'`): un reingreso es legítimo.</t>
  </si>
  <si>
    <t xml:space="preserve">POST /api/v1/personal · POST /api/v1/personal/{id}/baja</t>
  </si>
  <si>
    <t xml:space="preserve">Tras la baja el rut se puede reingresar. HTTP 200, 201.</t>
  </si>
  <si>
    <t xml:space="preserve">tests/test_sujetos.py::test_tras_la_baja_el_rut_se_puede_reingresar</t>
  </si>
  <si>
    <t xml:space="preserve">CP-SUJ-08</t>
  </si>
  <si>
    <t xml:space="preserve">Patente duplicada en el mismo contrato</t>
  </si>
  <si>
    <t xml:space="preserve">POST /api/v1/equipos</t>
  </si>
  <si>
    <t xml:space="preserve">Patente duplicada en el mismo contrato. HTTP 201, 409.</t>
  </si>
  <si>
    <t xml:space="preserve">tests/test_sujetos.py::test_patente_duplicada_en_el_mismo_contrato</t>
  </si>
  <si>
    <t xml:space="preserve">CP-SUJ-09</t>
  </si>
  <si>
    <t xml:space="preserve">Patch separa los campos por tipo</t>
  </si>
  <si>
    <t xml:space="preserve">§5 de RUPTURAS: los campos del otro tipo se ignoran en silencio.</t>
  </si>
  <si>
    <t xml:space="preserve">POST /api/v1/personal · PATCH /api/v1/personal/{id}</t>
  </si>
  <si>
    <t xml:space="preserve">Patch separa los campos por tipo. HTTP 200, 400 ; código de error SIN_CAMBIOS.</t>
  </si>
  <si>
    <t xml:space="preserve">tests/test_sujetos.py::test_patch_separa_los_campos_por_tipo</t>
  </si>
  <si>
    <t xml:space="preserve">CP-SUJ-10</t>
  </si>
  <si>
    <t xml:space="preserve">RF-16</t>
  </si>
  <si>
    <t xml:space="preserve">Un cargo con emsipor crea el expediente sin ser conductor</t>
  </si>
  <si>
    <t xml:space="preserve">`cargos.requiere_emsipor` es la fuente de verdad (§9.2).</t>
  </si>
  <si>
    <t xml:space="preserve">POST /api/v1/cargos · POST /api/v1/personal · GET /api/v1/documentos?sujeto_id={id}&amp;es_emsipor=true · GET /api/v1/personal/{id}/licencia-interna</t>
  </si>
  <si>
    <t xml:space="preserve">Un cargo con emsipor crea el expediente sin ser conductor. HTTP 201, 200.</t>
  </si>
  <si>
    <t xml:space="preserve">tests/test_sujetos.py::test_un_cargo_con_emsipor_crea_el_expediente_sin_ser_conductor</t>
  </si>
  <si>
    <t xml:space="preserve">CP-SUJ-11</t>
  </si>
  <si>
    <t xml:space="preserve">Sin cargo ni conductor no hay expediente</t>
  </si>
  <si>
    <t xml:space="preserve">POST /api/v1/personal · GET /api/v1/personal/{id}/licencia-interna</t>
  </si>
  <si>
    <t xml:space="preserve">Sin cargo ni conductor no hay expediente. HTTP 409 ; código de error NO_REQUIERE_EMSIPOR.</t>
  </si>
  <si>
    <t xml:space="preserve">tests/test_sujetos.py::test_sin_cargo_ni_conductor_no_hay_expediente</t>
  </si>
  <si>
    <t xml:space="preserve">CP-SUJ-12</t>
  </si>
  <si>
    <t xml:space="preserve">Cambiar el cargo crea el expediente pero no reinstancia el checklist</t>
  </si>
  <si>
    <t xml:space="preserve">POST /api/v1/personal · GET /api/v1/documentos?sujeto_id={id}&amp;es_emsipor=false&amp;page_size=100 · POST /api/v1/cargos · PATCH /api/v1/personal/{id}</t>
  </si>
  <si>
    <t xml:space="preserve">Cambiar el cargo crea el expediente pero no reinstancia el checklist. HTTP 200.</t>
  </si>
  <si>
    <t xml:space="preserve">tests/test_sujetos.py::test_cambiar_el_cargo_crea_el_expediente_pero_no_reinstancia_el_checklist</t>
  </si>
  <si>
    <t xml:space="preserve">CP-SUJ-13</t>
  </si>
  <si>
    <t xml:space="preserve">Licencia interna arranca pendiente</t>
  </si>
  <si>
    <t xml:space="preserve">API levantada sobre PostgreSQL 16; Empresa A registrada, aprobada y autenticada; Trabajador conductor con expediente EMSIPOR</t>
  </si>
  <si>
    <t xml:space="preserve">Licencia interna arranca pendiente. HTTP 200.</t>
  </si>
  <si>
    <t xml:space="preserve">tests/test_sujetos.py::test_licencia_interna_arranca_pendiente</t>
  </si>
  <si>
    <t xml:space="preserve">CP-SUJ-14</t>
  </si>
  <si>
    <t xml:space="preserve">Patch de la licencia deriva el estado</t>
  </si>
  <si>
    <t xml:space="preserve">`estado` no se acepta del cliente: se deriva del número y la fecha.</t>
  </si>
  <si>
    <t xml:space="preserve">Patch de la licencia deriva el estado. HTTP 200.</t>
  </si>
  <si>
    <t xml:space="preserve">tests/test_sujetos.py::test_patch_de_la_licencia_deriva_el_estado</t>
  </si>
  <si>
    <t xml:space="preserve">CP-SUJ-15</t>
  </si>
  <si>
    <t xml:space="preserve">Licencia con numero y sin fecha queda vigente</t>
  </si>
  <si>
    <t xml:space="preserve">Licencia con numero y sin fecha queda vigente. HTTP 200.</t>
  </si>
  <si>
    <t xml:space="preserve">tests/test_sujetos.py::test_licencia_con_numero_y_sin_fecha_queda_vigente</t>
  </si>
  <si>
    <t xml:space="preserve">CP-SUJ-16</t>
  </si>
  <si>
    <t xml:space="preserve">Patch de la licencia sin cambios</t>
  </si>
  <si>
    <t xml:space="preserve">Patch de la licencia sin cambios. HTTP 400 ; código de error SIN_CAMBIOS.</t>
  </si>
  <si>
    <t xml:space="preserve">tests/test_sujetos.py::test_patch_de_la_licencia_sin_cambios</t>
  </si>
  <si>
    <t xml:space="preserve">CP-SUJ-17</t>
  </si>
  <si>
    <t xml:space="preserve">El estado emsipor lo deriva el trigger</t>
  </si>
  <si>
    <t xml:space="preserve">`fn_sync_emsipor` recalcula `emsipor_estado` al cambiar un documento.</t>
  </si>
  <si>
    <t xml:space="preserve">GET /api/v1/documentos?sujeto_id={id} · PATCH /api/v1/documentos/{id}</t>
  </si>
  <si>
    <t xml:space="preserve">El estado emsipor lo deriva el trigger.</t>
  </si>
  <si>
    <t xml:space="preserve">tests/test_sujetos.py::test_el_estado_emsipor_lo_deriva_el_trigger</t>
  </si>
  <si>
    <t xml:space="preserve">CP-SUJ-18</t>
  </si>
  <si>
    <t xml:space="preserve">Emsipor estado coincide con el chequeo 8 de verificacion</t>
  </si>
  <si>
    <t xml:space="preserve">El valor que escribe la API tiene que ser el que deriva la base.</t>
  </si>
  <si>
    <t xml:space="preserve">API levantada sobre PostgreSQL 16; Empresa A registrada, aprobada y autenticada; Trabajador conductor con expediente EMSIPOR; Conexión directa a la base como dueño (para verificar lo que la API no ve)</t>
  </si>
  <si>
    <t xml:space="preserve">Emsipor estado coincide con el chequeo 8 de verificacion.</t>
  </si>
  <si>
    <t xml:space="preserve">tests/test_sujetos.py::test_emsipor_estado_coincide_con_el_chequeo_8_de_verificacion</t>
  </si>
  <si>
    <t xml:space="preserve">CP-SUJ-19</t>
  </si>
  <si>
    <t xml:space="preserve">Reset del expediente borra documentos archivos y marcas</t>
  </si>
  <si>
    <t xml:space="preserve">Irreversible y acotado: no toca el resto del checklist del trabajador.</t>
  </si>
  <si>
    <t xml:space="preserve">GET /api/v1/documentos?sujeto_id={id} · GET /api/v1/documentos?sujeto_id={id}&amp;es_emsipor=false · POST {id}/reset</t>
  </si>
  <si>
    <t xml:space="preserve">Reset del expediente borra documentos archivos y marcas. HTTP 200.</t>
  </si>
  <si>
    <t xml:space="preserve">tests/test_sujetos.py::test_reset_del_expediente_borra_documentos_archivos_y_marcas</t>
  </si>
  <si>
    <t xml:space="preserve">CP-SUJ-20</t>
  </si>
  <si>
    <t xml:space="preserve">La licencia de un no conductor no se edita</t>
  </si>
  <si>
    <t xml:space="preserve">La licencia de un no conductor no se edita. HTTP 409 ; código de error NO_REQUIERE_EMSIPOR.</t>
  </si>
  <si>
    <t xml:space="preserve">tests/test_sujetos.py::test_la_licencia_de_un_no_conductor_no_se_edita</t>
  </si>
  <si>
    <t xml:space="preserve">CP-SUJ-21</t>
  </si>
  <si>
    <t xml:space="preserve">RF-11</t>
  </si>
  <si>
    <t xml:space="preserve">El mismo rut en dos contratos es una sola persona</t>
  </si>
  <si>
    <t xml:space="preserve">§9.4: `sujetos` tiene una fila por contrato; la persona es una.</t>
  </si>
  <si>
    <t xml:space="preserve">POST /api/v1/personal · GET /api/v1/personal?page_size=100 · GET /api/v1/personas?page_size=100 · GET /api/v1/personas/{id}</t>
  </si>
  <si>
    <t xml:space="preserve">El mismo rut en dos contratos es una sola persona. HTTP 201, 200.</t>
  </si>
  <si>
    <t xml:space="preserve">tests/test_sujetos.py::test_el_mismo_rut_en_dos_contratos_es_una_sola_persona</t>
  </si>
  <si>
    <t xml:space="preserve">CP-SUJ-22</t>
  </si>
  <si>
    <t xml:space="preserve">La flota agrupa por patente</t>
  </si>
  <si>
    <t xml:space="preserve">POST /api/v1/equipos · GET /api/v1/flota?page_size=100 · GET /api/v1/flota/{id}</t>
  </si>
  <si>
    <t xml:space="preserve">La flota agrupa por patente. HTTP 201, 200.</t>
  </si>
  <si>
    <t xml:space="preserve">tests/test_sujetos.py::test_la_flota_agrupa_por_patente</t>
  </si>
  <si>
    <t xml:space="preserve">CP-SUJ-23</t>
  </si>
  <si>
    <t xml:space="preserve">Persona inexistente</t>
  </si>
  <si>
    <t xml:space="preserve">GET /api/v1/personas/{id}</t>
  </si>
  <si>
    <t xml:space="preserve">Persona inexistente. HTTP 404.</t>
  </si>
  <si>
    <t xml:space="preserve">tests/test_sujetos.py::test_persona_inexistente</t>
  </si>
  <si>
    <t xml:space="preserve">CP-SUJ-24</t>
  </si>
  <si>
    <t xml:space="preserve">El checklist del sujeto no es un listado paginado</t>
  </si>
  <si>
    <t xml:space="preserve">Es un conjunto cerrado: se devuelve completo, con sus estadísticas.</t>
  </si>
  <si>
    <t xml:space="preserve">GET /api/v1/personal/{id}/documentos</t>
  </si>
  <si>
    <t xml:space="preserve">El checklist del sujeto no es un listado paginado. HTTP 200.</t>
  </si>
  <si>
    <t xml:space="preserve">tests/test_sujetos.py::test_el_checklist_del_sujeto_no_es_un_listado_paginado</t>
  </si>
  <si>
    <t xml:space="preserve">CP-SUJ-25</t>
  </si>
  <si>
    <t xml:space="preserve">Borrar un sujeto purga sus blobs</t>
  </si>
  <si>
    <t xml:space="preserve">GET /api/v1/documentos?sujeto_id={id} · DELETE /api/v1/personal/{id} · GET /api/v1/personal/{id}</t>
  </si>
  <si>
    <t xml:space="preserve">Borrar un sujeto purga sus blobs. HTTP 200, 404.</t>
  </si>
  <si>
    <t xml:space="preserve">tests/test_sujetos.py::test_borrar_un_sujeto_purga_sus_blobs</t>
  </si>
  <si>
    <t xml:space="preserve">CP-SUJ-26</t>
  </si>
  <si>
    <t xml:space="preserve">La baja recalcula el cumplimiento del contrato</t>
  </si>
  <si>
    <t xml:space="preserve">API levantada sobre PostgreSQL 16; Empresa A registrada, aprobada y autenticada; Contrato de la empresa A en Los Pelambres; Trabajador conductor con expediente EMSIPOR</t>
  </si>
  <si>
    <t xml:space="preserve">GET /api/v1/contratos/{id} · POST /api/v1/personal/{id}/baja</t>
  </si>
  <si>
    <t xml:space="preserve">La baja recalcula el cumplimiento del contrato.</t>
  </si>
  <si>
    <t xml:space="preserve">tests/test_sujetos.py::test_la_baja_recalcula_el_cumplimiento_del_contrato</t>
  </si>
  <si>
    <t xml:space="preserve">CP-SUJ-27</t>
  </si>
  <si>
    <t xml:space="preserve">Filtros del listado de personal</t>
  </si>
  <si>
    <t xml:space="preserve">POST /api/v1/personal · GET /api/v1/personal?{id} · GET /api/v1/personal?sort=nombre · GET /api/v1/personal?sort=-nombre</t>
  </si>
  <si>
    <t xml:space="preserve">Filtros del listado de personal. HTTP 200.</t>
  </si>
  <si>
    <t xml:space="preserve">tests/test_sujetos.py::test_filtros_del_listado_de_personal</t>
  </si>
  <si>
    <t xml:space="preserve">CP-TEN-01</t>
  </si>
  <si>
    <t xml:space="preserve">RNF-01</t>
  </si>
  <si>
    <t xml:space="preserve">Seguridad</t>
  </si>
  <si>
    <t xml:space="preserve">Empresa b no alcanza el recurso de a</t>
  </si>
  <si>
    <t xml:space="preserve">Empresa b no alcanza el recurso de a. HTTP 404, 200.</t>
  </si>
  <si>
    <t xml:space="preserve">tests/test_tenants.py::test_empresa_b_no_alcanza_el_recurso_de_a</t>
  </si>
  <si>
    <t xml:space="preserve">CP-TEN-02</t>
  </si>
  <si>
    <t xml:space="preserve">La empresa a si alcanza su recurso</t>
  </si>
  <si>
    <t xml:space="preserve">Control negativo: sin esto un 404 universal haría pasar la prueba anterior.</t>
  </si>
  <si>
    <t xml:space="preserve">La empresa a si alcanza su recurso. HTTP 200.</t>
  </si>
  <si>
    <t xml:space="preserve">tests/test_tenants.py::test_la_empresa_a_si_alcanza_su_recurso</t>
  </si>
  <si>
    <t xml:space="preserve">CP-TEN-03</t>
  </si>
  <si>
    <t xml:space="preserve">Actividad no cruza empresas</t>
  </si>
  <si>
    <t xml:space="preserve">La bitácora de negocio es por empresa: B no ve el alta del contrato de A.</t>
  </si>
  <si>
    <t xml:space="preserve">Actividad no cruza empresas. HTTP 200.</t>
  </si>
  <si>
    <t xml:space="preserve">tests/test_tenants.py::test_actividad_no_cruza_empresas</t>
  </si>
  <si>
    <t xml:space="preserve">CP-TEN-04</t>
  </si>
  <si>
    <t xml:space="preserve">Dashboard no agrega datos ajenos</t>
  </si>
  <si>
    <t xml:space="preserve">Dashboard no agrega datos ajenos. HTTP 200.</t>
  </si>
  <si>
    <t xml:space="preserve">tests/test_tenants.py::test_dashboard_no_agrega_datos_ajenos</t>
  </si>
  <si>
    <t xml:space="preserve">CP-TEN-05</t>
  </si>
  <si>
    <t xml:space="preserve">Personas y flota no cruzan empresas</t>
  </si>
  <si>
    <t xml:space="preserve">El agrupado por identidad es por empresa: el mismo RUT no se mezcla.</t>
  </si>
  <si>
    <t xml:space="preserve">POST /api/v1/personal · POST /api/v1/equipos · GET /api/v1/personas/{id} · GET /api/v1/flota/{id}</t>
  </si>
  <si>
    <t xml:space="preserve">Personas y flota no cruzan empresas. HTTP 200.</t>
  </si>
  <si>
    <t xml:space="preserve">tests/test_tenants.py::test_personas_y_flota_no_cruzan_empresas</t>
  </si>
  <si>
    <t xml:space="preserve">CP-TEN-06</t>
  </si>
  <si>
    <t xml:space="preserve">Documento de a no se descarga desde b</t>
  </si>
  <si>
    <t xml:space="preserve">Ni el archivo ni su URL firmada son alcanzables desde la otra empresa.</t>
  </si>
  <si>
    <t xml:space="preserve">GET /api/v1/documentos/{id}/archivos/{id}/download-url · DELETE /api/v1/documentos/{id}/archivos/{id}</t>
  </si>
  <si>
    <t xml:space="preserve">Documento de a no se descarga desde b. HTTP 404.</t>
  </si>
  <si>
    <t xml:space="preserve">tests/test_tenants.py::test_documento_de_a_no_se_descarga_desde_b</t>
  </si>
  <si>
    <t xml:space="preserve">CP-TEN-07</t>
  </si>
  <si>
    <t xml:space="preserve">No se puede colgar un sujeto de un contrato ajeno</t>
  </si>
  <si>
    <t xml:space="preserve">La empresa B no puede crear personal dentro del contrato de A.</t>
  </si>
  <si>
    <t xml:space="preserve">API levantada sobre PostgreSQL 16; Empresa A registrada, aprobada y autenticada; Empresa B registrada, aprobada y autenticada; Contrato de la empresa A en Los Pelambres</t>
  </si>
  <si>
    <t xml:space="preserve">No se puede colgar un sujeto de un contrato ajeno. HTTP 404 ; código de error NO_ENCONTRADO.</t>
  </si>
  <si>
    <t xml:space="preserve">tests/test_tenants.py::test_no_se_puede_colgar_un_sujeto_de_un_contrato_ajeno</t>
  </si>
  <si>
    <t xml:space="preserve">CP-TEN-08</t>
  </si>
  <si>
    <t xml:space="preserve">No se puede invitar un contract admin a un contrato ajeno</t>
  </si>
  <si>
    <t xml:space="preserve">No se puede invitar un contract admin a un contrato ajeno. HTTP 400 ; código de error CONTRATO_INVALIDO.</t>
  </si>
  <si>
    <t xml:space="preserve">tests/test_tenants.py::test_no_se_puede_invitar_un_contract_admin_a_un_contrato_ajeno</t>
  </si>
  <si>
    <t xml:space="preserve">CP-TEN-09</t>
  </si>
  <si>
    <t xml:space="preserve">Usuario de otra empresa da 404</t>
  </si>
  <si>
    <t xml:space="preserve">PATCH /api/v1/company/usuarios/{id} · GET /api/v1/company/usuarios</t>
  </si>
  <si>
    <t xml:space="preserve">Usuario de otra empresa da 404. HTTP 404.</t>
  </si>
  <si>
    <t xml:space="preserve">tests/test_tenants.py::test_usuario_de_otra_empresa_da_404</t>
  </si>
  <si>
    <t xml:space="preserve">CP-TEN-10</t>
  </si>
  <si>
    <t xml:space="preserve">Contract admin no ve otro contrato de su empresa</t>
  </si>
  <si>
    <t xml:space="preserve">El aislamiento no termina en la empresa: el contract_admin está acotado.</t>
  </si>
  <si>
    <t xml:space="preserve">GET /api/v1/contratos/{id} · GET /api/v1/contratos</t>
  </si>
  <si>
    <t xml:space="preserve">Contract admin no ve otro contrato de su empresa. HTTP 200, 404 ; código de error NO_ENCONTRADO.</t>
  </si>
  <si>
    <t xml:space="preserve">tests/test_tenants.py::test_contract_admin_no_ve_otro_contrato_de_su_empresa</t>
  </si>
  <si>
    <t xml:space="preserve">CP-TEN-11</t>
  </si>
  <si>
    <t xml:space="preserve">Contract admin no ve sujetos de otro contrato</t>
  </si>
  <si>
    <t xml:space="preserve">POST /api/v1/personal · GET /api/v1/personal/{id} · GET /api/v1/personal?page_size=100 · GET /api/v1/documentos?page_size=100</t>
  </si>
  <si>
    <t xml:space="preserve">Contract admin no ve sujetos de otro contrato. HTTP 200, 404.</t>
  </si>
  <si>
    <t xml:space="preserve">tests/test_tenants.py::test_contract_admin_no_ve_sujetos_de_otro_contrato</t>
  </si>
  <si>
    <t xml:space="preserve">CP-TEN-12</t>
  </si>
  <si>
    <t xml:space="preserve">Contract admin no ve alertas de alcance empresa</t>
  </si>
  <si>
    <t xml:space="preserve">Una alerta sin `contrato_id` es de la empresa: el contract_admin no la ve.</t>
  </si>
  <si>
    <t xml:space="preserve">GET /api/v1/alertas?page_size=100 · PATCH /api/v1/alertas/{id}</t>
  </si>
  <si>
    <t xml:space="preserve">Contract admin no ve alertas de alcance empresa. HTTP 200, 404.</t>
  </si>
  <si>
    <t xml:space="preserve">tests/test_tenants.py::test_contract_admin_no_ve_alertas_de_alcance_empresa</t>
  </si>
  <si>
    <t xml:space="preserve">CP-TEN-13</t>
  </si>
  <si>
    <t xml:space="preserve">Rls filtra aunque la consulta no filtre</t>
  </si>
  <si>
    <t xml:space="preserve">Segunda barrera: una consulta SIN `where company_id` tampoco cruza.</t>
  </si>
  <si>
    <t xml:space="preserve">Rls filtra aunque la consulta no filtre.</t>
  </si>
  <si>
    <t xml:space="preserve">tests/test_tenants.py::test_rls_filtra_aunque_la_consulta_no_filtre</t>
  </si>
  <si>
    <t xml:space="preserve">CP-TEN-14</t>
  </si>
  <si>
    <t xml:space="preserve">Rls sin contexto no devuelve nada</t>
  </si>
  <si>
    <t xml:space="preserve">Sin tenant en la sesión, RLS devuelve vacío en vez de todo.</t>
  </si>
  <si>
    <t xml:space="preserve">Rls sin contexto no devuelve nada.</t>
  </si>
  <si>
    <t xml:space="preserve">tests/test_tenants.py::test_rls_sin_contexto_no_devuelve_nada</t>
  </si>
  <si>
    <t xml:space="preserve">CP-VAU-01</t>
  </si>
  <si>
    <t xml:space="preserve">RF-08 / RNF-03</t>
  </si>
  <si>
    <t xml:space="preserve">Alta no filtra el secreto</t>
  </si>
  <si>
    <t xml:space="preserve">Alta no filtra el secreto. HTTP 201.</t>
  </si>
  <si>
    <t xml:space="preserve">tests/test_vault.py::test_alta_no_filtra_el_secreto</t>
  </si>
  <si>
    <t xml:space="preserve">CP-VAU-02</t>
  </si>
  <si>
    <t xml:space="preserve">Ningun endpoint de la cuenta expone el jwe</t>
  </si>
  <si>
    <t xml:space="preserve">Listado y detalle de usos: ninguno menciona el secreto.</t>
  </si>
  <si>
    <t xml:space="preserve">API levantada sobre PostgreSQL 16; Empresa A registrada, aprobada y autenticada; Credencial de plataforma guardada en la bóveda</t>
  </si>
  <si>
    <t xml:space="preserve">Ningun endpoint de la cuenta expone el jwe. HTTP 200.</t>
  </si>
  <si>
    <t xml:space="preserve">tests/test_vault.py::test_ningun_endpoint_de_la_cuenta_expone_el_jwe</t>
  </si>
  <si>
    <t xml:space="preserve">CP-VAU-03</t>
  </si>
  <si>
    <t xml:space="preserve">El kid no viaja en el historial de la cuenta</t>
  </si>
  <si>
    <t xml:space="preserve">`kid` sí está concedido en la tabla de versiones: identifica la clave de Key Vault, no el secreto, y el auditor lo necesita. Lo que no puede viajar es el JWE.</t>
  </si>
  <si>
    <t xml:space="preserve">API levantada sobre PostgreSQL 16; Credencial de plataforma guardada en la bóveda; Empresa A registrada, aprobada y autenticada</t>
  </si>
  <si>
    <t xml:space="preserve">POST {id}/usuarios/{id}/rotar · GET {id}/usuarios/{id}/usos</t>
  </si>
  <si>
    <t xml:space="preserve">El kid no viaja en el historial de la cuenta. HTTP 200.</t>
  </si>
  <si>
    <t xml:space="preserve">tests/test_vault.py::test_el_kid_no_viaja_en_el_historial_de_la_cuenta</t>
  </si>
  <si>
    <t xml:space="preserve">CP-VAU-04</t>
  </si>
  <si>
    <t xml:space="preserve">La api no puede leer la columna del jwe</t>
  </si>
  <si>
    <t xml:space="preserve">El GRANT por columnas es real: el rol de la API recibe 42501 al pedirla.</t>
  </si>
  <si>
    <t xml:space="preserve">API levantada sobre PostgreSQL 16; Credencial de plataforma guardada en la bóveda</t>
  </si>
  <si>
    <t xml:space="preserve">La api no puede leer la columna del jwe.</t>
  </si>
  <si>
    <t xml:space="preserve">tests/test_vault.py::test_la_api_no_puede_leer_la_columna_del_jwe</t>
  </si>
  <si>
    <t xml:space="preserve">CP-VAU-05</t>
  </si>
  <si>
    <t xml:space="preserve">La columna contiene un jwe de cinco partes</t>
  </si>
  <si>
    <t xml:space="preserve">API levantada sobre PostgreSQL 16; Conexión directa a la base como dueño (para verificar lo que la API no ve); Credencial de plataforma guardada en la bóveda</t>
  </si>
  <si>
    <t xml:space="preserve">La columna contiene un jwe de cinco partes.</t>
  </si>
  <si>
    <t xml:space="preserve">tests/test_vault.py::test_la_columna_contiene_un_jwe_de_cinco_partes</t>
  </si>
  <si>
    <t xml:space="preserve">CP-VAU-06</t>
  </si>
  <si>
    <t xml:space="preserve">El secreto no aparece en ninguna tabla</t>
  </si>
  <si>
    <t xml:space="preserve">Barrido de confidencialidad: ni la bitácora ni la actividad lo copian.</t>
  </si>
  <si>
    <t xml:space="preserve">API levantada sobre PostgreSQL 16; Conexión directa a la base como dueño (para verificar lo que la API no ve); Credencial de plataforma guardada en la bóveda; Empresa A registrada, aprobada y autenticada</t>
  </si>
  <si>
    <t xml:space="preserve">POST {id}/usuarios/{id}/rotar</t>
  </si>
  <si>
    <t xml:space="preserve">El secreto no aparece en ninguna tabla.</t>
  </si>
  <si>
    <t xml:space="preserve">tests/test_vault.py::test_el_secreto_no_aparece_en_ninguna_tabla</t>
  </si>
  <si>
    <t xml:space="preserve">CP-VAU-07</t>
  </si>
  <si>
    <t xml:space="preserve">Dos rotaciones dejan version 3 y dos archivadas</t>
  </si>
  <si>
    <t xml:space="preserve">API levantada sobre PostgreSQL 16; Empresa A registrada, aprobada y autenticada; Credencial de plataforma guardada en la bóveda; Conexión directa a la base como dueño (para verificar lo que la API no ve)</t>
  </si>
  <si>
    <t xml:space="preserve">Dos rotaciones dejan version 3 y dos archivadas. HTTP 200.</t>
  </si>
  <si>
    <t xml:space="preserve">tests/test_vault.py::test_dos_rotaciones_dejan_version_3_y_dos_archivadas</t>
  </si>
  <si>
    <t xml:space="preserve">CP-VAU-08</t>
  </si>
  <si>
    <t xml:space="preserve">La rotacion no es idempotente en la version</t>
  </si>
  <si>
    <t xml:space="preserve">Rotar con la MISMA contraseña también cuenta: el JWE cambia (IV y CEK).</t>
  </si>
  <si>
    <t xml:space="preserve">La rotacion no es idempotente en la version. HTTP 200.</t>
  </si>
  <si>
    <t xml:space="preserve">tests/test_vault.py::test_la_rotacion_no_es_idempotente_en_la_version</t>
  </si>
  <si>
    <t xml:space="preserve">CP-VAU-09</t>
  </si>
  <si>
    <t xml:space="preserve">El historial rechaza update con 55000</t>
  </si>
  <si>
    <t xml:space="preserve">Append-only: una versión archivada no se puede REESCRIBIR.</t>
  </si>
  <si>
    <t xml:space="preserve">API levantada sobre PostgreSQL 16; Conexión directa a la base como dueño (para verificar lo que la API no ve); Empresa A registrada, aprobada y autenticada; Credencial de plataforma guardada en la bóveda</t>
  </si>
  <si>
    <t xml:space="preserve">El historial rechaza update con 55000.</t>
  </si>
  <si>
    <t xml:space="preserve">tests/test_vault.py::test_el_historial_rechaza_update_con_55000</t>
  </si>
  <si>
    <t xml:space="preserve">CP-VAU-10</t>
  </si>
  <si>
    <t xml:space="preserve">Borrar la credencial arrastra su historial</t>
  </si>
  <si>
    <t xml:space="preserve">El DELETE del historial está permitido a propósito.</t>
  </si>
  <si>
    <t xml:space="preserve">POST {id}/usuarios/{id}/rotar · DELETE {id}/usuarios/{id}</t>
  </si>
  <si>
    <t xml:space="preserve">Borrar la credencial arrastra su historial. HTTP 200.</t>
  </si>
  <si>
    <t xml:space="preserve">tests/test_vault.py::test_borrar_la_credencial_arrastra_su_historial</t>
  </si>
  <si>
    <t xml:space="preserve">CP-VAU-11</t>
  </si>
  <si>
    <t xml:space="preserve">Borrar la plataforma arrastra credenciales con historial</t>
  </si>
  <si>
    <t xml:space="preserve">API levantada sobre PostgreSQL 16; Empresa A registrada, aprobada y autenticada; Contrato de la empresa A en Los Pelambres; Credencial de plataforma guardada en la bóveda; Conexión directa a la base como dueño (para verificar lo que la API no ve)</t>
  </si>
  <si>
    <t xml:space="preserve">POST {id}/usuarios/{id}/rotar · DELETE {id}?confirm=true</t>
  </si>
  <si>
    <t xml:space="preserve">Borrar la plataforma arrastra credenciales con historial. HTTP 200.</t>
  </si>
  <si>
    <t xml:space="preserve">tests/test_vault.py::test_borrar_la_plataforma_arrastra_credenciales_con_historial</t>
  </si>
  <si>
    <t xml:space="preserve">CP-VAU-12</t>
  </si>
  <si>
    <t xml:space="preserve">Descifrar devuelve el secreto y valida los claims</t>
  </si>
  <si>
    <t xml:space="preserve">API levantada sobre PostgreSQL 16; Conexión directa a la base como dueño (para verificar lo que la API no ve); Credencial de plataforma guardada en la bóveda; Empresa A registrada, aprobada y autenticada; Contrato de la empresa A en Los Pelambres</t>
  </si>
  <si>
    <t xml:space="preserve">Descifrar devuelve el secreto y valida los claims.</t>
  </si>
  <si>
    <t xml:space="preserve">tests/test_vault.py::test_descifrar_devuelve_el_secreto_y_valida_los_claims</t>
  </si>
  <si>
    <t xml:space="preserve">CP-VAU-13</t>
  </si>
  <si>
    <t xml:space="preserve">Descifrar rechaza un cid que no corresponde</t>
  </si>
  <si>
    <t xml:space="preserve">Una copia del JWE entre filas se detecta: los claims atan la credencial.</t>
  </si>
  <si>
    <t xml:space="preserve">API levantada sobre PostgreSQL 16; Conexión directa a la base como dueño (para verificar lo que la API no ve); Credencial de plataforma guardada en la bóveda; Contrato de la empresa A en Los Pelambres</t>
  </si>
  <si>
    <t xml:space="preserve">Descifrar rechaza un cid que no corresponde.</t>
  </si>
  <si>
    <t xml:space="preserve">tests/test_vault.py::test_descifrar_rechaza_un_cid_que_no_corresponde</t>
  </si>
  <si>
    <t xml:space="preserve">CP-VAU-14</t>
  </si>
  <si>
    <t xml:space="preserve">Descifrar rechaza un jwe manipulado</t>
  </si>
  <si>
    <t xml:space="preserve">Descifrar rechaza un jwe manipulado.</t>
  </si>
  <si>
    <t xml:space="preserve">tests/test_vault.py::test_descifrar_rechaza_un_jwe_manipulado</t>
  </si>
  <si>
    <t xml:space="preserve">CP-VAU-15</t>
  </si>
  <si>
    <t xml:space="preserve">El trigger rechaza un jwe mal formado sin revelarlo</t>
  </si>
  <si>
    <t xml:space="preserve">Sin CHECK constraints por diseño: el mensaje no puede contener la fila.</t>
  </si>
  <si>
    <t xml:space="preserve">El trigger rechaza un jwe mal formado sin revelarlo.</t>
  </si>
  <si>
    <t xml:space="preserve">tests/test_vault.py::test_el_trigger_rechaza_un_jwe_mal_formado_sin_revelarlo</t>
  </si>
  <si>
    <t xml:space="preserve">CP-VAU-16</t>
  </si>
  <si>
    <t xml:space="preserve">El trigger exige coherencia de tenant</t>
  </si>
  <si>
    <t xml:space="preserve">API levantada sobre PostgreSQL 16; Conexión directa a la base como dueño (para verificar lo que la API no ve); Credencial de plataforma guardada en la bóveda; Empresa B registrada, aprobada y autenticada</t>
  </si>
  <si>
    <t xml:space="preserve">El trigger exige coherencia de tenant.</t>
  </si>
  <si>
    <t xml:space="preserve">tests/test_vault.py::test_el_trigger_exige_coherencia_de_tenant</t>
  </si>
  <si>
    <t xml:space="preserve">CP-VAU-17</t>
  </si>
  <si>
    <t xml:space="preserve">Usuario duplicado en la misma plataforma</t>
  </si>
  <si>
    <t xml:space="preserve">API levantada sobre PostgreSQL 16; Empresa A registrada, aprobada y autenticada; Contrato de la empresa A en Los Pelambres; Credencial de plataforma guardada en la bóveda</t>
  </si>
  <si>
    <t xml:space="preserve">Usuario duplicado en la misma plataforma. HTTP 409 ; código de error USUARIO_DUPLICADO.</t>
  </si>
  <si>
    <t xml:space="preserve">tests/test_vault.py::test_usuario_duplicado_en_la_misma_plataforma</t>
  </si>
  <si>
    <t xml:space="preserve">CP-VAU-18</t>
  </si>
  <si>
    <t xml:space="preserve">Password debil no se guarda</t>
  </si>
  <si>
    <t xml:space="preserve">Password debil no se guarda. HTTP 400 ; código de error PASSWORD_DEBIL.</t>
  </si>
  <si>
    <t xml:space="preserve">tests/test_vault.py::test_password_debil_no_se_guarda</t>
  </si>
  <si>
    <t xml:space="preserve">CP-VAU-19</t>
  </si>
  <si>
    <t xml:space="preserve">No se cambia el password por patch</t>
  </si>
  <si>
    <t xml:space="preserve">La rotación tiene endpoint propio para que quede archivada.</t>
  </si>
  <si>
    <t xml:space="preserve">PATCH {id}/usuarios/{id}</t>
  </si>
  <si>
    <t xml:space="preserve">No se cambia el password por patch. HTTP 400.</t>
  </si>
  <si>
    <t xml:space="preserve">tests/test_vault.py::test_no_se_cambia_el_password_por_patch</t>
  </si>
  <si>
    <t xml:space="preserve">CP-VAU-20</t>
  </si>
  <si>
    <t xml:space="preserve">Una credencial revocada no se rota</t>
  </si>
  <si>
    <t xml:space="preserve">PATCH {id}/usuarios/{id} · POST {id}/usuarios/{id}/rotar</t>
  </si>
  <si>
    <t xml:space="preserve">Una credencial revocada no se rota. HTTP 200, 409 ; código de error CREDENCIAL_REVOCADA.</t>
  </si>
  <si>
    <t xml:space="preserve">tests/test_vault.py::test_una_credencial_revocada_no_se_rota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</si>
</sst>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Calibri"/>
      <family val="0"/>
      <charset val="1"/>
    </font>
    <font>
      <sz val="18"/>
      <name val="Calibri"/>
      <family val="0"/>
      <charset val="1"/>
    </font>
    <font>
      <i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366091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sz val="9"/>
      <color rgb="FF7F7F7F"/>
      <name val="Calibri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1F3864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F81BD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660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828360</xdr:colOff>
      <xdr:row>4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59056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</cols>
  <sheetData>
    <row r="8" customFormat="false" ht="29.15" hidden="false" customHeight="false" outlineLevel="0" collapsed="false">
      <c r="B8" s="1" t="s">
        <v>0</v>
      </c>
    </row>
    <row r="9" customFormat="false" ht="22.05" hidden="false" customHeight="false" outlineLevel="0" collapsed="false">
      <c r="B9" s="2" t="s">
        <v>1</v>
      </c>
    </row>
    <row r="10" customFormat="false" ht="17.35" hidden="false" customHeight="false" outlineLevel="0" collapsed="false">
      <c r="B10" s="3" t="s">
        <v>2</v>
      </c>
      <c r="C10" s="4"/>
      <c r="D10" s="4"/>
      <c r="E10" s="4"/>
    </row>
    <row r="12" customFormat="false" ht="15" hidden="false" customHeight="false" outlineLevel="0" collapsed="false">
      <c r="B12" s="5" t="s">
        <v>3</v>
      </c>
    </row>
    <row r="13" customFormat="false" ht="15" hidden="false" customHeight="false" outlineLevel="0" collapsed="false">
      <c r="B13" s="5" t="s">
        <v>4</v>
      </c>
    </row>
    <row r="15" customFormat="false" ht="15" hidden="false" customHeight="false" outlineLevel="0" collapsed="false">
      <c r="B15" s="6" t="s">
        <v>5</v>
      </c>
    </row>
    <row r="16" customFormat="false" ht="15" hidden="false" customHeight="false" outlineLevel="0" collapsed="false">
      <c r="B16" s="5" t="s">
        <v>6</v>
      </c>
      <c r="D16" s="7" t="s">
        <v>7</v>
      </c>
      <c r="E16" s="7"/>
    </row>
    <row r="17" customFormat="false" ht="15" hidden="false" customHeight="false" outlineLevel="0" collapsed="false">
      <c r="B17" s="5" t="s">
        <v>8</v>
      </c>
      <c r="D17" s="7" t="s">
        <v>9</v>
      </c>
      <c r="E17" s="7"/>
    </row>
    <row r="19" customFormat="false" ht="15" hidden="false" customHeight="false" outlineLevel="0" collapsed="false">
      <c r="B19" s="6" t="s">
        <v>10</v>
      </c>
    </row>
    <row r="20" customFormat="false" ht="15" hidden="false" customHeight="false" outlineLevel="0" collapsed="false">
      <c r="B20" s="8" t="s">
        <v>11</v>
      </c>
      <c r="C20" s="8" t="s">
        <v>12</v>
      </c>
      <c r="D20" s="8" t="s">
        <v>13</v>
      </c>
      <c r="E20" s="8" t="s">
        <v>14</v>
      </c>
    </row>
    <row r="21" customFormat="false" ht="15" hidden="false" customHeight="false" outlineLevel="0" collapsed="false">
      <c r="B21" s="9" t="s">
        <v>4</v>
      </c>
      <c r="C21" s="9" t="s">
        <v>15</v>
      </c>
      <c r="D21" s="9" t="s">
        <v>16</v>
      </c>
      <c r="E21" s="9" t="s">
        <v>17</v>
      </c>
    </row>
    <row r="24" customFormat="false" ht="15" hidden="false" customHeight="false" outlineLevel="0" collapsed="false">
      <c r="B24" s="10" t="s">
        <v>18</v>
      </c>
    </row>
  </sheetData>
  <mergeCells count="2">
    <mergeCell ref="D16:E16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34"/>
    <col collapsed="false" customWidth="true" hidden="false" outlineLevel="0" max="2" min="2" style="11" width="10"/>
    <col collapsed="false" customWidth="true" hidden="false" outlineLevel="0" max="3" min="3" style="11" width="20"/>
    <col collapsed="false" customWidth="true" hidden="false" outlineLevel="0" max="4" min="4" style="11" width="12"/>
    <col collapsed="false" customWidth="true" hidden="false" outlineLevel="0" max="6" min="5" style="11" width="10"/>
    <col collapsed="false" customWidth="true" hidden="false" outlineLevel="0" max="7" min="7" style="11" width="12"/>
  </cols>
  <sheetData>
    <row r="1" customFormat="false" ht="17.25" hidden="false" customHeight="true" outlineLevel="0" collapsed="false">
      <c r="A1" s="12" t="s">
        <v>19</v>
      </c>
    </row>
    <row r="2" customFormat="false" ht="15" hidden="false" customHeight="true" outlineLevel="0" collapsed="false">
      <c r="A2" s="13" t="s">
        <v>20</v>
      </c>
    </row>
    <row r="4" customFormat="false" ht="26.25" hidden="false" customHeight="tru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</row>
    <row r="5" customFormat="false" ht="15" hidden="false" customHeight="true" outlineLevel="0" collapsed="false">
      <c r="A5" s="15" t="s">
        <v>28</v>
      </c>
      <c r="B5" s="15" t="n">
        <f aca="false">COUNTIF('Casos de prueba'!$B$2:$B$207,A5)</f>
        <v>28</v>
      </c>
      <c r="C5" s="15" t="n">
        <f aca="false">SUMIF('Casos de prueba'!$B$2:$B$207,A5,'Casos de prueba'!$J$2:$J$207)</f>
        <v>32</v>
      </c>
      <c r="D5" s="15" t="n">
        <f aca="false">COUNTIFS('Casos de prueba'!$B$2:$B$207,$A5,'Casos de prueba'!$N$2:$N$207,"Aprobado")</f>
        <v>0</v>
      </c>
      <c r="E5" s="15" t="n">
        <f aca="false">COUNTIFS('Casos de prueba'!$B$2:$B$207,$A5,'Casos de prueba'!$N$2:$N$207,"Fallido")</f>
        <v>0</v>
      </c>
      <c r="F5" s="15" t="n">
        <f aca="false">COUNTIFS('Casos de prueba'!$B$2:$B$207,$A5,'Casos de prueba'!$N$2:$N$207,"Omitido")</f>
        <v>0</v>
      </c>
      <c r="G5" s="15" t="n">
        <f aca="false">COUNTIFS('Casos de prueba'!$B$2:$B$207,$A5,'Casos de prueba'!$N$2:$N$207,"Pendiente")</f>
        <v>28</v>
      </c>
    </row>
    <row r="6" customFormat="false" ht="15" hidden="false" customHeight="true" outlineLevel="0" collapsed="false">
      <c r="A6" s="15" t="s">
        <v>29</v>
      </c>
      <c r="B6" s="15" t="n">
        <f aca="false">COUNTIF('Casos de prueba'!$B$2:$B$207,A6)</f>
        <v>28</v>
      </c>
      <c r="C6" s="15" t="n">
        <f aca="false">SUMIF('Casos de prueba'!$B$2:$B$207,A6,'Casos de prueba'!$J$2:$J$207)</f>
        <v>32</v>
      </c>
      <c r="D6" s="15" t="n">
        <f aca="false">COUNTIFS('Casos de prueba'!$B$2:$B$207,$A6,'Casos de prueba'!$N$2:$N$207,"Aprobado")</f>
        <v>0</v>
      </c>
      <c r="E6" s="15" t="n">
        <f aca="false">COUNTIFS('Casos de prueba'!$B$2:$B$207,$A6,'Casos de prueba'!$N$2:$N$207,"Fallido")</f>
        <v>0</v>
      </c>
      <c r="F6" s="15" t="n">
        <f aca="false">COUNTIFS('Casos de prueba'!$B$2:$B$207,$A6,'Casos de prueba'!$N$2:$N$207,"Omitido")</f>
        <v>0</v>
      </c>
      <c r="G6" s="15" t="n">
        <f aca="false">COUNTIFS('Casos de prueba'!$B$2:$B$207,$A6,'Casos de prueba'!$N$2:$N$207,"Pendiente")</f>
        <v>28</v>
      </c>
    </row>
    <row r="7" customFormat="false" ht="15" hidden="false" customHeight="true" outlineLevel="0" collapsed="false">
      <c r="A7" s="15" t="s">
        <v>30</v>
      </c>
      <c r="B7" s="15" t="n">
        <f aca="false">COUNTIF('Casos de prueba'!$B$2:$B$207,A7)</f>
        <v>25</v>
      </c>
      <c r="C7" s="15" t="n">
        <f aca="false">SUMIF('Casos de prueba'!$B$2:$B$207,A7,'Casos de prueba'!$J$2:$J$207)</f>
        <v>29</v>
      </c>
      <c r="D7" s="15" t="n">
        <f aca="false">COUNTIFS('Casos de prueba'!$B$2:$B$207,$A7,'Casos de prueba'!$N$2:$N$207,"Aprobado")</f>
        <v>0</v>
      </c>
      <c r="E7" s="15" t="n">
        <f aca="false">COUNTIFS('Casos de prueba'!$B$2:$B$207,$A7,'Casos de prueba'!$N$2:$N$207,"Fallido")</f>
        <v>0</v>
      </c>
      <c r="F7" s="15" t="n">
        <f aca="false">COUNTIFS('Casos de prueba'!$B$2:$B$207,$A7,'Casos de prueba'!$N$2:$N$207,"Omitido")</f>
        <v>0</v>
      </c>
      <c r="G7" s="15" t="n">
        <f aca="false">COUNTIFS('Casos de prueba'!$B$2:$B$207,$A7,'Casos de prueba'!$N$2:$N$207,"Pendiente")</f>
        <v>25</v>
      </c>
    </row>
    <row r="8" customFormat="false" ht="15" hidden="false" customHeight="true" outlineLevel="0" collapsed="false">
      <c r="A8" s="15" t="s">
        <v>31</v>
      </c>
      <c r="B8" s="15" t="n">
        <f aca="false">COUNTIF('Casos de prueba'!$B$2:$B$207,A8)</f>
        <v>9</v>
      </c>
      <c r="C8" s="15" t="n">
        <f aca="false">SUMIF('Casos de prueba'!$B$2:$B$207,A8,'Casos de prueba'!$J$2:$J$207)</f>
        <v>9</v>
      </c>
      <c r="D8" s="15" t="n">
        <f aca="false">COUNTIFS('Casos de prueba'!$B$2:$B$207,$A8,'Casos de prueba'!$N$2:$N$207,"Aprobado")</f>
        <v>0</v>
      </c>
      <c r="E8" s="15" t="n">
        <f aca="false">COUNTIFS('Casos de prueba'!$B$2:$B$207,$A8,'Casos de prueba'!$N$2:$N$207,"Fallido")</f>
        <v>0</v>
      </c>
      <c r="F8" s="15" t="n">
        <f aca="false">COUNTIFS('Casos de prueba'!$B$2:$B$207,$A8,'Casos de prueba'!$N$2:$N$207,"Omitido")</f>
        <v>0</v>
      </c>
      <c r="G8" s="15" t="n">
        <f aca="false">COUNTIFS('Casos de prueba'!$B$2:$B$207,$A8,'Casos de prueba'!$N$2:$N$207,"Pendiente")</f>
        <v>9</v>
      </c>
    </row>
    <row r="9" customFormat="false" ht="15" hidden="false" customHeight="true" outlineLevel="0" collapsed="false">
      <c r="A9" s="15" t="s">
        <v>32</v>
      </c>
      <c r="B9" s="15" t="n">
        <f aca="false">COUNTIF('Casos de prueba'!$B$2:$B$207,A9)</f>
        <v>37</v>
      </c>
      <c r="C9" s="15" t="n">
        <f aca="false">SUMIF('Casos de prueba'!$B$2:$B$207,A9,'Casos de prueba'!$J$2:$J$207)</f>
        <v>47</v>
      </c>
      <c r="D9" s="15" t="n">
        <f aca="false">COUNTIFS('Casos de prueba'!$B$2:$B$207,$A9,'Casos de prueba'!$N$2:$N$207,"Aprobado")</f>
        <v>0</v>
      </c>
      <c r="E9" s="15" t="n">
        <f aca="false">COUNTIFS('Casos de prueba'!$B$2:$B$207,$A9,'Casos de prueba'!$N$2:$N$207,"Fallido")</f>
        <v>0</v>
      </c>
      <c r="F9" s="15" t="n">
        <f aca="false">COUNTIFS('Casos de prueba'!$B$2:$B$207,$A9,'Casos de prueba'!$N$2:$N$207,"Omitido")</f>
        <v>0</v>
      </c>
      <c r="G9" s="15" t="n">
        <f aca="false">COUNTIFS('Casos de prueba'!$B$2:$B$207,$A9,'Casos de prueba'!$N$2:$N$207,"Pendiente")</f>
        <v>37</v>
      </c>
    </row>
    <row r="10" customFormat="false" ht="15" hidden="false" customHeight="true" outlineLevel="0" collapsed="false">
      <c r="A10" s="15" t="s">
        <v>33</v>
      </c>
      <c r="B10" s="15" t="n">
        <f aca="false">COUNTIF('Casos de prueba'!$B$2:$B$207,A10)</f>
        <v>18</v>
      </c>
      <c r="C10" s="15" t="n">
        <f aca="false">SUMIF('Casos de prueba'!$B$2:$B$207,A10,'Casos de prueba'!$J$2:$J$207)</f>
        <v>30</v>
      </c>
      <c r="D10" s="15" t="n">
        <f aca="false">COUNTIFS('Casos de prueba'!$B$2:$B$207,$A10,'Casos de prueba'!$N$2:$N$207,"Aprobado")</f>
        <v>0</v>
      </c>
      <c r="E10" s="15" t="n">
        <f aca="false">COUNTIFS('Casos de prueba'!$B$2:$B$207,$A10,'Casos de prueba'!$N$2:$N$207,"Fallido")</f>
        <v>0</v>
      </c>
      <c r="F10" s="15" t="n">
        <f aca="false">COUNTIFS('Casos de prueba'!$B$2:$B$207,$A10,'Casos de prueba'!$N$2:$N$207,"Omitido")</f>
        <v>0</v>
      </c>
      <c r="G10" s="15" t="n">
        <f aca="false">COUNTIFS('Casos de prueba'!$B$2:$B$207,$A10,'Casos de prueba'!$N$2:$N$207,"Pendiente")</f>
        <v>18</v>
      </c>
    </row>
    <row r="11" customFormat="false" ht="15" hidden="false" customHeight="true" outlineLevel="0" collapsed="false">
      <c r="A11" s="15" t="s">
        <v>34</v>
      </c>
      <c r="B11" s="15" t="n">
        <f aca="false">COUNTIF('Casos de prueba'!$B$2:$B$207,A11)</f>
        <v>27</v>
      </c>
      <c r="C11" s="15" t="n">
        <f aca="false">SUMIF('Casos de prueba'!$B$2:$B$207,A11,'Casos de prueba'!$J$2:$J$207)</f>
        <v>28</v>
      </c>
      <c r="D11" s="15" t="n">
        <f aca="false">COUNTIFS('Casos de prueba'!$B$2:$B$207,$A11,'Casos de prueba'!$N$2:$N$207,"Aprobado")</f>
        <v>0</v>
      </c>
      <c r="E11" s="15" t="n">
        <f aca="false">COUNTIFS('Casos de prueba'!$B$2:$B$207,$A11,'Casos de prueba'!$N$2:$N$207,"Fallido")</f>
        <v>0</v>
      </c>
      <c r="F11" s="15" t="n">
        <f aca="false">COUNTIFS('Casos de prueba'!$B$2:$B$207,$A11,'Casos de prueba'!$N$2:$N$207,"Omitido")</f>
        <v>0</v>
      </c>
      <c r="G11" s="15" t="n">
        <f aca="false">COUNTIFS('Casos de prueba'!$B$2:$B$207,$A11,'Casos de prueba'!$N$2:$N$207,"Pendiente")</f>
        <v>27</v>
      </c>
    </row>
    <row r="12" customFormat="false" ht="15" hidden="false" customHeight="true" outlineLevel="0" collapsed="false">
      <c r="A12" s="15" t="s">
        <v>35</v>
      </c>
      <c r="B12" s="15" t="n">
        <f aca="false">COUNTIF('Casos de prueba'!$B$2:$B$207,A12)</f>
        <v>14</v>
      </c>
      <c r="C12" s="15" t="n">
        <f aca="false">SUMIF('Casos de prueba'!$B$2:$B$207,A12,'Casos de prueba'!$J$2:$J$207)</f>
        <v>14</v>
      </c>
      <c r="D12" s="15" t="n">
        <f aca="false">COUNTIFS('Casos de prueba'!$B$2:$B$207,$A12,'Casos de prueba'!$N$2:$N$207,"Aprobado")</f>
        <v>0</v>
      </c>
      <c r="E12" s="15" t="n">
        <f aca="false">COUNTIFS('Casos de prueba'!$B$2:$B$207,$A12,'Casos de prueba'!$N$2:$N$207,"Fallido")</f>
        <v>0</v>
      </c>
      <c r="F12" s="15" t="n">
        <f aca="false">COUNTIFS('Casos de prueba'!$B$2:$B$207,$A12,'Casos de prueba'!$N$2:$N$207,"Omitido")</f>
        <v>0</v>
      </c>
      <c r="G12" s="15" t="n">
        <f aca="false">COUNTIFS('Casos de prueba'!$B$2:$B$207,$A12,'Casos de prueba'!$N$2:$N$207,"Pendiente")</f>
        <v>14</v>
      </c>
    </row>
    <row r="13" customFormat="false" ht="15" hidden="false" customHeight="true" outlineLevel="0" collapsed="false">
      <c r="A13" s="15" t="s">
        <v>36</v>
      </c>
      <c r="B13" s="15" t="n">
        <f aca="false">COUNTIF('Casos de prueba'!$B$2:$B$207,A13)</f>
        <v>20</v>
      </c>
      <c r="C13" s="15" t="n">
        <f aca="false">SUMIF('Casos de prueba'!$B$2:$B$207,A13,'Casos de prueba'!$J$2:$J$207)</f>
        <v>20</v>
      </c>
      <c r="D13" s="15" t="n">
        <f aca="false">COUNTIFS('Casos de prueba'!$B$2:$B$207,$A13,'Casos de prueba'!$N$2:$N$207,"Aprobado")</f>
        <v>0</v>
      </c>
      <c r="E13" s="15" t="n">
        <f aca="false">COUNTIFS('Casos de prueba'!$B$2:$B$207,$A13,'Casos de prueba'!$N$2:$N$207,"Fallido")</f>
        <v>0</v>
      </c>
      <c r="F13" s="15" t="n">
        <f aca="false">COUNTIFS('Casos de prueba'!$B$2:$B$207,$A13,'Casos de prueba'!$N$2:$N$207,"Omitido")</f>
        <v>0</v>
      </c>
      <c r="G13" s="15" t="n">
        <f aca="false">COUNTIFS('Casos de prueba'!$B$2:$B$207,$A13,'Casos de prueba'!$N$2:$N$207,"Pendiente")</f>
        <v>20</v>
      </c>
    </row>
    <row r="14" customFormat="false" ht="15" hidden="false" customHeight="true" outlineLevel="0" collapsed="false">
      <c r="A14" s="16" t="s">
        <v>37</v>
      </c>
      <c r="B14" s="16" t="n">
        <f aca="false">SUM(B5:B13)</f>
        <v>206</v>
      </c>
      <c r="C14" s="16" t="n">
        <f aca="false">SUM(C5:C13)</f>
        <v>241</v>
      </c>
      <c r="D14" s="16" t="n">
        <f aca="false">SUM(D5:D13)</f>
        <v>0</v>
      </c>
      <c r="E14" s="16" t="n">
        <f aca="false">SUM(E5:E13)</f>
        <v>0</v>
      </c>
      <c r="F14" s="16" t="n">
        <f aca="false">SUM(F5:F13)</f>
        <v>0</v>
      </c>
      <c r="G14" s="16" t="n">
        <f aca="false">SUM(G5:G13)</f>
        <v>206</v>
      </c>
    </row>
    <row r="16" customFormat="false" ht="15" hidden="false" customHeight="true" outlineLevel="0" collapsed="false">
      <c r="A16" s="17" t="s">
        <v>38</v>
      </c>
      <c r="B16" s="18" t="str">
        <f aca="false">IF(B14-G14=0,"-",D14/(B14-G14))</f>
        <v>-</v>
      </c>
    </row>
    <row r="18" customFormat="false" ht="15" hidden="false" customHeight="true" outlineLevel="0" collapsed="false">
      <c r="A18" s="1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2"/>
    <col collapsed="false" customWidth="true" hidden="false" outlineLevel="0" max="2" min="2" style="11" width="26"/>
    <col collapsed="false" customWidth="true" hidden="false" outlineLevel="0" max="4" min="3" style="11" width="16"/>
    <col collapsed="false" customWidth="true" hidden="false" outlineLevel="0" max="8" min="5" style="11" width="40"/>
    <col collapsed="false" customWidth="true" hidden="false" outlineLevel="0" max="9" min="9" style="11" width="45"/>
    <col collapsed="false" customWidth="true" hidden="false" outlineLevel="0" max="10" min="10" style="11" width="10"/>
    <col collapsed="false" customWidth="true" hidden="false" outlineLevel="0" max="11" min="11" style="11" width="12"/>
    <col collapsed="false" customWidth="true" hidden="false" outlineLevel="0" max="12" min="12" style="11" width="50"/>
    <col collapsed="false" customWidth="true" hidden="false" outlineLevel="0" max="13" min="13" style="11" width="30"/>
    <col collapsed="false" customWidth="true" hidden="false" outlineLevel="0" max="14" min="14" style="11" width="12"/>
  </cols>
  <sheetData>
    <row r="1" customFormat="false" ht="26.25" hidden="false" customHeight="true" outlineLevel="0" collapsed="false">
      <c r="A1" s="14" t="s">
        <v>40</v>
      </c>
      <c r="B1" s="14" t="s">
        <v>21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</row>
    <row r="2" customFormat="false" ht="23.25" hidden="false" customHeight="true" outlineLevel="0" collapsed="false">
      <c r="A2" s="19" t="s">
        <v>53</v>
      </c>
      <c r="B2" s="19" t="s">
        <v>28</v>
      </c>
      <c r="C2" s="19" t="s">
        <v>54</v>
      </c>
      <c r="D2" s="19" t="s">
        <v>55</v>
      </c>
      <c r="E2" s="19" t="s">
        <v>56</v>
      </c>
      <c r="F2" s="19"/>
      <c r="G2" s="19" t="s">
        <v>57</v>
      </c>
      <c r="H2" s="19" t="s">
        <v>58</v>
      </c>
      <c r="I2" s="19" t="s">
        <v>59</v>
      </c>
      <c r="J2" s="19" t="n">
        <v>1</v>
      </c>
      <c r="K2" s="19" t="n">
        <v>5</v>
      </c>
      <c r="L2" s="19" t="s">
        <v>60</v>
      </c>
      <c r="M2" s="19"/>
      <c r="N2" s="19" t="s">
        <v>61</v>
      </c>
    </row>
    <row r="3" customFormat="false" ht="23.25" hidden="false" customHeight="true" outlineLevel="0" collapsed="false">
      <c r="A3" s="19" t="s">
        <v>62</v>
      </c>
      <c r="B3" s="19" t="s">
        <v>28</v>
      </c>
      <c r="C3" s="19" t="s">
        <v>54</v>
      </c>
      <c r="D3" s="19" t="s">
        <v>55</v>
      </c>
      <c r="E3" s="19" t="s">
        <v>63</v>
      </c>
      <c r="F3" s="19"/>
      <c r="G3" s="19" t="s">
        <v>64</v>
      </c>
      <c r="H3" s="19" t="s">
        <v>65</v>
      </c>
      <c r="I3" s="19" t="s">
        <v>66</v>
      </c>
      <c r="J3" s="19" t="n">
        <v>1</v>
      </c>
      <c r="K3" s="19" t="n">
        <v>4</v>
      </c>
      <c r="L3" s="19" t="s">
        <v>67</v>
      </c>
      <c r="M3" s="19"/>
      <c r="N3" s="19" t="s">
        <v>61</v>
      </c>
    </row>
    <row r="4" customFormat="false" ht="23.25" hidden="false" customHeight="true" outlineLevel="0" collapsed="false">
      <c r="A4" s="19" t="s">
        <v>68</v>
      </c>
      <c r="B4" s="19" t="s">
        <v>28</v>
      </c>
      <c r="C4" s="19" t="s">
        <v>54</v>
      </c>
      <c r="D4" s="19" t="s">
        <v>55</v>
      </c>
      <c r="E4" s="19" t="s">
        <v>69</v>
      </c>
      <c r="F4" s="19"/>
      <c r="G4" s="19" t="s">
        <v>57</v>
      </c>
      <c r="H4" s="19" t="s">
        <v>65</v>
      </c>
      <c r="I4" s="19" t="s">
        <v>70</v>
      </c>
      <c r="J4" s="19" t="n">
        <v>1</v>
      </c>
      <c r="K4" s="19" t="n">
        <v>2</v>
      </c>
      <c r="L4" s="19" t="s">
        <v>71</v>
      </c>
      <c r="M4" s="19"/>
      <c r="N4" s="19" t="s">
        <v>61</v>
      </c>
    </row>
    <row r="5" customFormat="false" ht="23.25" hidden="false" customHeight="true" outlineLevel="0" collapsed="false">
      <c r="A5" s="19" t="s">
        <v>72</v>
      </c>
      <c r="B5" s="19" t="s">
        <v>28</v>
      </c>
      <c r="C5" s="19" t="s">
        <v>54</v>
      </c>
      <c r="D5" s="19" t="s">
        <v>55</v>
      </c>
      <c r="E5" s="19" t="s">
        <v>73</v>
      </c>
      <c r="F5" s="19"/>
      <c r="G5" s="19" t="s">
        <v>57</v>
      </c>
      <c r="H5" s="19" t="s">
        <v>65</v>
      </c>
      <c r="I5" s="19" t="s">
        <v>74</v>
      </c>
      <c r="J5" s="19" t="n">
        <v>3</v>
      </c>
      <c r="K5" s="19" t="n">
        <v>2</v>
      </c>
      <c r="L5" s="19" t="s">
        <v>75</v>
      </c>
      <c r="M5" s="19"/>
      <c r="N5" s="19" t="s">
        <v>61</v>
      </c>
    </row>
    <row r="6" customFormat="false" ht="23.25" hidden="false" customHeight="true" outlineLevel="0" collapsed="false">
      <c r="A6" s="19" t="s">
        <v>76</v>
      </c>
      <c r="B6" s="19" t="s">
        <v>28</v>
      </c>
      <c r="C6" s="19" t="s">
        <v>77</v>
      </c>
      <c r="D6" s="19" t="s">
        <v>55</v>
      </c>
      <c r="E6" s="19" t="s">
        <v>78</v>
      </c>
      <c r="F6" s="19"/>
      <c r="G6" s="19" t="s">
        <v>64</v>
      </c>
      <c r="H6" s="19" t="s">
        <v>79</v>
      </c>
      <c r="I6" s="19" t="s">
        <v>80</v>
      </c>
      <c r="J6" s="19" t="n">
        <v>1</v>
      </c>
      <c r="K6" s="19" t="n">
        <v>7</v>
      </c>
      <c r="L6" s="19" t="s">
        <v>81</v>
      </c>
      <c r="M6" s="19"/>
      <c r="N6" s="19" t="s">
        <v>61</v>
      </c>
    </row>
    <row r="7" customFormat="false" ht="23.25" hidden="false" customHeight="true" outlineLevel="0" collapsed="false">
      <c r="A7" s="19" t="s">
        <v>82</v>
      </c>
      <c r="B7" s="19" t="s">
        <v>28</v>
      </c>
      <c r="C7" s="19" t="s">
        <v>77</v>
      </c>
      <c r="D7" s="19" t="s">
        <v>55</v>
      </c>
      <c r="E7" s="19" t="s">
        <v>83</v>
      </c>
      <c r="F7" s="19"/>
      <c r="G7" s="19" t="s">
        <v>57</v>
      </c>
      <c r="H7" s="19" t="s">
        <v>79</v>
      </c>
      <c r="I7" s="19" t="s">
        <v>84</v>
      </c>
      <c r="J7" s="19" t="n">
        <v>1</v>
      </c>
      <c r="K7" s="19" t="n">
        <v>4</v>
      </c>
      <c r="L7" s="19" t="s">
        <v>85</v>
      </c>
      <c r="M7" s="19"/>
      <c r="N7" s="19" t="s">
        <v>61</v>
      </c>
    </row>
    <row r="8" customFormat="false" ht="23.25" hidden="false" customHeight="true" outlineLevel="0" collapsed="false">
      <c r="A8" s="19" t="s">
        <v>86</v>
      </c>
      <c r="B8" s="19" t="s">
        <v>28</v>
      </c>
      <c r="C8" s="19" t="s">
        <v>77</v>
      </c>
      <c r="D8" s="19" t="s">
        <v>55</v>
      </c>
      <c r="E8" s="19" t="s">
        <v>87</v>
      </c>
      <c r="F8" s="19"/>
      <c r="G8" s="19" t="s">
        <v>64</v>
      </c>
      <c r="H8" s="19" t="s">
        <v>88</v>
      </c>
      <c r="I8" s="19" t="s">
        <v>89</v>
      </c>
      <c r="J8" s="19" t="n">
        <v>1</v>
      </c>
      <c r="K8" s="19" t="n">
        <v>2</v>
      </c>
      <c r="L8" s="19" t="s">
        <v>90</v>
      </c>
      <c r="M8" s="19"/>
      <c r="N8" s="19" t="s">
        <v>61</v>
      </c>
    </row>
    <row r="9" customFormat="false" ht="23.25" hidden="false" customHeight="true" outlineLevel="0" collapsed="false">
      <c r="A9" s="19" t="s">
        <v>91</v>
      </c>
      <c r="B9" s="19" t="s">
        <v>28</v>
      </c>
      <c r="C9" s="19" t="s">
        <v>92</v>
      </c>
      <c r="D9" s="19" t="s">
        <v>55</v>
      </c>
      <c r="E9" s="19" t="s">
        <v>93</v>
      </c>
      <c r="F9" s="19" t="s">
        <v>94</v>
      </c>
      <c r="G9" s="19" t="s">
        <v>64</v>
      </c>
      <c r="H9" s="19" t="s">
        <v>95</v>
      </c>
      <c r="I9" s="19" t="s">
        <v>96</v>
      </c>
      <c r="J9" s="19" t="n">
        <v>1</v>
      </c>
      <c r="K9" s="19" t="n">
        <v>3</v>
      </c>
      <c r="L9" s="19" t="s">
        <v>97</v>
      </c>
      <c r="M9" s="19"/>
      <c r="N9" s="19" t="s">
        <v>61</v>
      </c>
    </row>
    <row r="10" customFormat="false" ht="34.5" hidden="false" customHeight="true" outlineLevel="0" collapsed="false">
      <c r="A10" s="19" t="s">
        <v>98</v>
      </c>
      <c r="B10" s="19" t="s">
        <v>28</v>
      </c>
      <c r="C10" s="19" t="s">
        <v>99</v>
      </c>
      <c r="D10" s="19" t="s">
        <v>55</v>
      </c>
      <c r="E10" s="19" t="s">
        <v>100</v>
      </c>
      <c r="F10" s="19"/>
      <c r="G10" s="19" t="s">
        <v>101</v>
      </c>
      <c r="H10" s="19" t="s">
        <v>102</v>
      </c>
      <c r="I10" s="19" t="s">
        <v>103</v>
      </c>
      <c r="J10" s="19" t="n">
        <v>1</v>
      </c>
      <c r="K10" s="19" t="n">
        <v>3</v>
      </c>
      <c r="L10" s="19" t="s">
        <v>104</v>
      </c>
      <c r="M10" s="19"/>
      <c r="N10" s="19" t="s">
        <v>61</v>
      </c>
    </row>
    <row r="11" customFormat="false" ht="23.25" hidden="false" customHeight="true" outlineLevel="0" collapsed="false">
      <c r="A11" s="19" t="s">
        <v>105</v>
      </c>
      <c r="B11" s="19" t="s">
        <v>28</v>
      </c>
      <c r="C11" s="19" t="s">
        <v>77</v>
      </c>
      <c r="D11" s="19" t="s">
        <v>55</v>
      </c>
      <c r="E11" s="19" t="s">
        <v>106</v>
      </c>
      <c r="F11" s="19"/>
      <c r="G11" s="19" t="s">
        <v>64</v>
      </c>
      <c r="H11" s="19" t="s">
        <v>107</v>
      </c>
      <c r="I11" s="19" t="s">
        <v>108</v>
      </c>
      <c r="J11" s="19" t="n">
        <v>1</v>
      </c>
      <c r="K11" s="19" t="n">
        <v>6</v>
      </c>
      <c r="L11" s="19" t="s">
        <v>109</v>
      </c>
      <c r="M11" s="19"/>
      <c r="N11" s="19" t="s">
        <v>61</v>
      </c>
    </row>
    <row r="12" customFormat="false" ht="23.25" hidden="false" customHeight="true" outlineLevel="0" collapsed="false">
      <c r="A12" s="19" t="s">
        <v>110</v>
      </c>
      <c r="B12" s="19" t="s">
        <v>28</v>
      </c>
      <c r="C12" s="19" t="s">
        <v>92</v>
      </c>
      <c r="D12" s="19" t="s">
        <v>55</v>
      </c>
      <c r="E12" s="19" t="s">
        <v>111</v>
      </c>
      <c r="F12" s="19"/>
      <c r="G12" s="19" t="s">
        <v>64</v>
      </c>
      <c r="H12" s="19" t="s">
        <v>112</v>
      </c>
      <c r="I12" s="19" t="s">
        <v>113</v>
      </c>
      <c r="J12" s="19" t="n">
        <v>1</v>
      </c>
      <c r="K12" s="19" t="n">
        <v>2</v>
      </c>
      <c r="L12" s="19" t="s">
        <v>114</v>
      </c>
      <c r="M12" s="19"/>
      <c r="N12" s="19" t="s">
        <v>61</v>
      </c>
    </row>
    <row r="13" customFormat="false" ht="23.25" hidden="false" customHeight="true" outlineLevel="0" collapsed="false">
      <c r="A13" s="19" t="s">
        <v>115</v>
      </c>
      <c r="B13" s="19" t="s">
        <v>28</v>
      </c>
      <c r="C13" s="19" t="s">
        <v>77</v>
      </c>
      <c r="D13" s="19" t="s">
        <v>55</v>
      </c>
      <c r="E13" s="19" t="s">
        <v>116</v>
      </c>
      <c r="F13" s="19"/>
      <c r="G13" s="19" t="s">
        <v>64</v>
      </c>
      <c r="H13" s="19" t="s">
        <v>117</v>
      </c>
      <c r="I13" s="19" t="s">
        <v>118</v>
      </c>
      <c r="J13" s="19" t="n">
        <v>1</v>
      </c>
      <c r="K13" s="19" t="n">
        <v>2</v>
      </c>
      <c r="L13" s="19" t="s">
        <v>119</v>
      </c>
      <c r="M13" s="19"/>
      <c r="N13" s="19" t="s">
        <v>61</v>
      </c>
    </row>
    <row r="14" customFormat="false" ht="23.25" hidden="false" customHeight="true" outlineLevel="0" collapsed="false">
      <c r="A14" s="19" t="s">
        <v>120</v>
      </c>
      <c r="B14" s="19" t="s">
        <v>28</v>
      </c>
      <c r="C14" s="19" t="s">
        <v>77</v>
      </c>
      <c r="D14" s="19" t="s">
        <v>55</v>
      </c>
      <c r="E14" s="19" t="s">
        <v>121</v>
      </c>
      <c r="F14" s="19"/>
      <c r="G14" s="19" t="s">
        <v>64</v>
      </c>
      <c r="H14" s="19" t="s">
        <v>122</v>
      </c>
      <c r="I14" s="19" t="s">
        <v>123</v>
      </c>
      <c r="J14" s="19" t="n">
        <v>1</v>
      </c>
      <c r="K14" s="19" t="n">
        <v>3</v>
      </c>
      <c r="L14" s="19" t="s">
        <v>124</v>
      </c>
      <c r="M14" s="19"/>
      <c r="N14" s="19" t="s">
        <v>61</v>
      </c>
    </row>
    <row r="15" customFormat="false" ht="23.25" hidden="false" customHeight="true" outlineLevel="0" collapsed="false">
      <c r="A15" s="19" t="s">
        <v>125</v>
      </c>
      <c r="B15" s="19" t="s">
        <v>28</v>
      </c>
      <c r="C15" s="19" t="s">
        <v>77</v>
      </c>
      <c r="D15" s="19" t="s">
        <v>55</v>
      </c>
      <c r="E15" s="19" t="s">
        <v>126</v>
      </c>
      <c r="F15" s="19"/>
      <c r="G15" s="19" t="s">
        <v>64</v>
      </c>
      <c r="H15" s="19" t="s">
        <v>127</v>
      </c>
      <c r="I15" s="19" t="s">
        <v>128</v>
      </c>
      <c r="J15" s="19" t="n">
        <v>1</v>
      </c>
      <c r="K15" s="19" t="n">
        <v>4</v>
      </c>
      <c r="L15" s="19" t="s">
        <v>129</v>
      </c>
      <c r="M15" s="19"/>
      <c r="N15" s="19" t="s">
        <v>61</v>
      </c>
    </row>
    <row r="16" customFormat="false" ht="34.5" hidden="false" customHeight="true" outlineLevel="0" collapsed="false">
      <c r="A16" s="19" t="s">
        <v>130</v>
      </c>
      <c r="B16" s="19" t="s">
        <v>28</v>
      </c>
      <c r="C16" s="19" t="s">
        <v>131</v>
      </c>
      <c r="D16" s="19" t="s">
        <v>55</v>
      </c>
      <c r="E16" s="19" t="s">
        <v>132</v>
      </c>
      <c r="F16" s="19"/>
      <c r="G16" s="19" t="s">
        <v>64</v>
      </c>
      <c r="H16" s="19" t="s">
        <v>133</v>
      </c>
      <c r="I16" s="19" t="s">
        <v>134</v>
      </c>
      <c r="J16" s="19" t="n">
        <v>1</v>
      </c>
      <c r="K16" s="19" t="n">
        <v>6</v>
      </c>
      <c r="L16" s="19" t="s">
        <v>135</v>
      </c>
      <c r="M16" s="19"/>
      <c r="N16" s="19" t="s">
        <v>61</v>
      </c>
    </row>
    <row r="17" customFormat="false" ht="23.25" hidden="false" customHeight="true" outlineLevel="0" collapsed="false">
      <c r="A17" s="19" t="s">
        <v>136</v>
      </c>
      <c r="B17" s="19" t="s">
        <v>28</v>
      </c>
      <c r="C17" s="19" t="s">
        <v>131</v>
      </c>
      <c r="D17" s="19" t="s">
        <v>55</v>
      </c>
      <c r="E17" s="19" t="s">
        <v>137</v>
      </c>
      <c r="F17" s="19"/>
      <c r="G17" s="19" t="s">
        <v>64</v>
      </c>
      <c r="H17" s="19" t="s">
        <v>127</v>
      </c>
      <c r="I17" s="19" t="s">
        <v>138</v>
      </c>
      <c r="J17" s="19" t="n">
        <v>3</v>
      </c>
      <c r="K17" s="19" t="n">
        <v>2</v>
      </c>
      <c r="L17" s="19" t="s">
        <v>139</v>
      </c>
      <c r="M17" s="19"/>
      <c r="N17" s="19" t="s">
        <v>61</v>
      </c>
    </row>
    <row r="18" customFormat="false" ht="23.25" hidden="false" customHeight="true" outlineLevel="0" collapsed="false">
      <c r="A18" s="19" t="s">
        <v>140</v>
      </c>
      <c r="B18" s="19" t="s">
        <v>28</v>
      </c>
      <c r="C18" s="19" t="s">
        <v>131</v>
      </c>
      <c r="D18" s="19" t="s">
        <v>55</v>
      </c>
      <c r="E18" s="19" t="s">
        <v>141</v>
      </c>
      <c r="F18" s="19"/>
      <c r="G18" s="19" t="s">
        <v>57</v>
      </c>
      <c r="H18" s="19" t="s">
        <v>142</v>
      </c>
      <c r="I18" s="19" t="s">
        <v>143</v>
      </c>
      <c r="J18" s="19" t="n">
        <v>1</v>
      </c>
      <c r="K18" s="19" t="n">
        <v>2</v>
      </c>
      <c r="L18" s="19" t="s">
        <v>144</v>
      </c>
      <c r="M18" s="19"/>
      <c r="N18" s="19" t="s">
        <v>61</v>
      </c>
    </row>
    <row r="19" customFormat="false" ht="23.25" hidden="false" customHeight="true" outlineLevel="0" collapsed="false">
      <c r="A19" s="19" t="s">
        <v>145</v>
      </c>
      <c r="B19" s="19" t="s">
        <v>28</v>
      </c>
      <c r="C19" s="19" t="s">
        <v>77</v>
      </c>
      <c r="D19" s="19" t="s">
        <v>55</v>
      </c>
      <c r="E19" s="19" t="s">
        <v>146</v>
      </c>
      <c r="F19" s="19"/>
      <c r="G19" s="19" t="s">
        <v>64</v>
      </c>
      <c r="H19" s="19" t="s">
        <v>147</v>
      </c>
      <c r="I19" s="19" t="s">
        <v>148</v>
      </c>
      <c r="J19" s="19" t="n">
        <v>1</v>
      </c>
      <c r="K19" s="19" t="n">
        <v>2</v>
      </c>
      <c r="L19" s="19" t="s">
        <v>149</v>
      </c>
      <c r="M19" s="19"/>
      <c r="N19" s="19" t="s">
        <v>61</v>
      </c>
    </row>
    <row r="20" customFormat="false" ht="23.25" hidden="false" customHeight="true" outlineLevel="0" collapsed="false">
      <c r="A20" s="19" t="s">
        <v>150</v>
      </c>
      <c r="B20" s="19" t="s">
        <v>28</v>
      </c>
      <c r="C20" s="19" t="s">
        <v>77</v>
      </c>
      <c r="D20" s="19" t="s">
        <v>55</v>
      </c>
      <c r="E20" s="19" t="s">
        <v>151</v>
      </c>
      <c r="F20" s="19"/>
      <c r="G20" s="19" t="s">
        <v>64</v>
      </c>
      <c r="H20" s="19" t="s">
        <v>152</v>
      </c>
      <c r="I20" s="19" t="s">
        <v>153</v>
      </c>
      <c r="J20" s="19" t="n">
        <v>1</v>
      </c>
      <c r="K20" s="19" t="n">
        <v>5</v>
      </c>
      <c r="L20" s="19" t="s">
        <v>154</v>
      </c>
      <c r="M20" s="19"/>
      <c r="N20" s="19" t="s">
        <v>61</v>
      </c>
    </row>
    <row r="21" customFormat="false" ht="34.5" hidden="false" customHeight="true" outlineLevel="0" collapsed="false">
      <c r="A21" s="19" t="s">
        <v>155</v>
      </c>
      <c r="B21" s="19" t="s">
        <v>28</v>
      </c>
      <c r="C21" s="19" t="s">
        <v>77</v>
      </c>
      <c r="D21" s="19" t="s">
        <v>55</v>
      </c>
      <c r="E21" s="19" t="s">
        <v>156</v>
      </c>
      <c r="F21" s="19" t="s">
        <v>157</v>
      </c>
      <c r="G21" s="19" t="s">
        <v>158</v>
      </c>
      <c r="H21" s="19" t="s">
        <v>147</v>
      </c>
      <c r="I21" s="19" t="s">
        <v>159</v>
      </c>
      <c r="J21" s="19" t="n">
        <v>1</v>
      </c>
      <c r="K21" s="19" t="n">
        <v>2</v>
      </c>
      <c r="L21" s="19" t="s">
        <v>160</v>
      </c>
      <c r="M21" s="19"/>
      <c r="N21" s="19" t="s">
        <v>61</v>
      </c>
    </row>
    <row r="22" customFormat="false" ht="45.75" hidden="false" customHeight="true" outlineLevel="0" collapsed="false">
      <c r="A22" s="19" t="s">
        <v>161</v>
      </c>
      <c r="B22" s="19" t="s">
        <v>28</v>
      </c>
      <c r="C22" s="19" t="s">
        <v>131</v>
      </c>
      <c r="D22" s="19" t="s">
        <v>55</v>
      </c>
      <c r="E22" s="19" t="s">
        <v>162</v>
      </c>
      <c r="F22" s="19"/>
      <c r="G22" s="19" t="s">
        <v>64</v>
      </c>
      <c r="H22" s="19" t="s">
        <v>147</v>
      </c>
      <c r="I22" s="19" t="s">
        <v>163</v>
      </c>
      <c r="J22" s="19" t="n">
        <v>1</v>
      </c>
      <c r="K22" s="19" t="n">
        <v>6</v>
      </c>
      <c r="L22" s="19" t="s">
        <v>164</v>
      </c>
      <c r="M22" s="19"/>
      <c r="N22" s="19" t="s">
        <v>61</v>
      </c>
    </row>
    <row r="23" customFormat="false" ht="34.5" hidden="false" customHeight="true" outlineLevel="0" collapsed="false">
      <c r="A23" s="19" t="s">
        <v>165</v>
      </c>
      <c r="B23" s="19" t="s">
        <v>28</v>
      </c>
      <c r="C23" s="19" t="s">
        <v>131</v>
      </c>
      <c r="D23" s="19" t="s">
        <v>55</v>
      </c>
      <c r="E23" s="19" t="s">
        <v>166</v>
      </c>
      <c r="F23" s="19" t="s">
        <v>167</v>
      </c>
      <c r="G23" s="19" t="s">
        <v>64</v>
      </c>
      <c r="H23" s="19" t="s">
        <v>168</v>
      </c>
      <c r="I23" s="19" t="s">
        <v>169</v>
      </c>
      <c r="J23" s="19" t="n">
        <v>1</v>
      </c>
      <c r="K23" s="19" t="n">
        <v>3</v>
      </c>
      <c r="L23" s="19" t="s">
        <v>170</v>
      </c>
      <c r="M23" s="19"/>
      <c r="N23" s="19" t="s">
        <v>61</v>
      </c>
    </row>
    <row r="24" customFormat="false" ht="34.5" hidden="false" customHeight="true" outlineLevel="0" collapsed="false">
      <c r="A24" s="19" t="s">
        <v>171</v>
      </c>
      <c r="B24" s="19" t="s">
        <v>28</v>
      </c>
      <c r="C24" s="19" t="s">
        <v>131</v>
      </c>
      <c r="D24" s="19" t="s">
        <v>55</v>
      </c>
      <c r="E24" s="19" t="s">
        <v>172</v>
      </c>
      <c r="F24" s="19"/>
      <c r="G24" s="19" t="s">
        <v>64</v>
      </c>
      <c r="H24" s="19" t="s">
        <v>173</v>
      </c>
      <c r="I24" s="19" t="s">
        <v>174</v>
      </c>
      <c r="J24" s="19" t="n">
        <v>1</v>
      </c>
      <c r="K24" s="19" t="n">
        <v>4</v>
      </c>
      <c r="L24" s="19" t="s">
        <v>175</v>
      </c>
      <c r="M24" s="19"/>
      <c r="N24" s="19" t="s">
        <v>61</v>
      </c>
    </row>
    <row r="25" customFormat="false" ht="34.5" hidden="false" customHeight="true" outlineLevel="0" collapsed="false">
      <c r="A25" s="19" t="s">
        <v>176</v>
      </c>
      <c r="B25" s="19" t="s">
        <v>28</v>
      </c>
      <c r="C25" s="19" t="s">
        <v>99</v>
      </c>
      <c r="D25" s="19" t="s">
        <v>55</v>
      </c>
      <c r="E25" s="19" t="s">
        <v>177</v>
      </c>
      <c r="F25" s="19"/>
      <c r="G25" s="19" t="s">
        <v>64</v>
      </c>
      <c r="H25" s="19" t="s">
        <v>178</v>
      </c>
      <c r="I25" s="19" t="s">
        <v>179</v>
      </c>
      <c r="J25" s="19" t="n">
        <v>1</v>
      </c>
      <c r="K25" s="19" t="n">
        <v>2</v>
      </c>
      <c r="L25" s="19" t="s">
        <v>180</v>
      </c>
      <c r="M25" s="19"/>
      <c r="N25" s="19" t="s">
        <v>61</v>
      </c>
    </row>
    <row r="26" customFormat="false" ht="45.75" hidden="false" customHeight="true" outlineLevel="0" collapsed="false">
      <c r="A26" s="19" t="s">
        <v>181</v>
      </c>
      <c r="B26" s="19" t="s">
        <v>28</v>
      </c>
      <c r="C26" s="19" t="s">
        <v>99</v>
      </c>
      <c r="D26" s="19" t="s">
        <v>55</v>
      </c>
      <c r="E26" s="19" t="s">
        <v>182</v>
      </c>
      <c r="F26" s="19"/>
      <c r="G26" s="19" t="s">
        <v>101</v>
      </c>
      <c r="H26" s="19" t="s">
        <v>183</v>
      </c>
      <c r="I26" s="19" t="s">
        <v>184</v>
      </c>
      <c r="J26" s="19" t="n">
        <v>1</v>
      </c>
      <c r="K26" s="19" t="n">
        <v>4</v>
      </c>
      <c r="L26" s="19" t="s">
        <v>185</v>
      </c>
      <c r="M26" s="19"/>
      <c r="N26" s="19" t="s">
        <v>61</v>
      </c>
    </row>
    <row r="27" customFormat="false" ht="45.75" hidden="false" customHeight="true" outlineLevel="0" collapsed="false">
      <c r="A27" s="19" t="s">
        <v>186</v>
      </c>
      <c r="B27" s="19" t="s">
        <v>28</v>
      </c>
      <c r="C27" s="19" t="s">
        <v>99</v>
      </c>
      <c r="D27" s="19" t="s">
        <v>55</v>
      </c>
      <c r="E27" s="19" t="s">
        <v>187</v>
      </c>
      <c r="F27" s="19"/>
      <c r="G27" s="19" t="s">
        <v>188</v>
      </c>
      <c r="H27" s="19" t="s">
        <v>183</v>
      </c>
      <c r="I27" s="19" t="s">
        <v>189</v>
      </c>
      <c r="J27" s="19" t="n">
        <v>1</v>
      </c>
      <c r="K27" s="19" t="n">
        <v>2</v>
      </c>
      <c r="L27" s="19" t="s">
        <v>190</v>
      </c>
      <c r="M27" s="19"/>
      <c r="N27" s="19" t="s">
        <v>61</v>
      </c>
    </row>
    <row r="28" customFormat="false" ht="34.5" hidden="false" customHeight="true" outlineLevel="0" collapsed="false">
      <c r="A28" s="19" t="s">
        <v>191</v>
      </c>
      <c r="B28" s="19" t="s">
        <v>28</v>
      </c>
      <c r="C28" s="19" t="s">
        <v>99</v>
      </c>
      <c r="D28" s="19" t="s">
        <v>55</v>
      </c>
      <c r="E28" s="19" t="s">
        <v>192</v>
      </c>
      <c r="F28" s="19" t="s">
        <v>193</v>
      </c>
      <c r="G28" s="19" t="s">
        <v>194</v>
      </c>
      <c r="H28" s="19" t="s">
        <v>195</v>
      </c>
      <c r="I28" s="19" t="s">
        <v>196</v>
      </c>
      <c r="J28" s="19" t="n">
        <v>1</v>
      </c>
      <c r="K28" s="19" t="n">
        <v>6</v>
      </c>
      <c r="L28" s="19" t="s">
        <v>197</v>
      </c>
      <c r="M28" s="19"/>
      <c r="N28" s="19" t="s">
        <v>61</v>
      </c>
    </row>
    <row r="29" customFormat="false" ht="34.5" hidden="false" customHeight="true" outlineLevel="0" collapsed="false">
      <c r="A29" s="19" t="s">
        <v>198</v>
      </c>
      <c r="B29" s="19" t="s">
        <v>28</v>
      </c>
      <c r="C29" s="19" t="s">
        <v>92</v>
      </c>
      <c r="D29" s="19" t="s">
        <v>55</v>
      </c>
      <c r="E29" s="19" t="s">
        <v>199</v>
      </c>
      <c r="F29" s="19"/>
      <c r="G29" s="19" t="s">
        <v>194</v>
      </c>
      <c r="H29" s="19" t="s">
        <v>200</v>
      </c>
      <c r="I29" s="19" t="s">
        <v>201</v>
      </c>
      <c r="J29" s="19" t="n">
        <v>1</v>
      </c>
      <c r="K29" s="19" t="n">
        <v>6</v>
      </c>
      <c r="L29" s="19" t="s">
        <v>202</v>
      </c>
      <c r="M29" s="19"/>
      <c r="N29" s="19" t="s">
        <v>61</v>
      </c>
    </row>
    <row r="30" customFormat="false" ht="34.5" hidden="false" customHeight="true" outlineLevel="0" collapsed="false">
      <c r="A30" s="19" t="s">
        <v>203</v>
      </c>
      <c r="B30" s="19" t="s">
        <v>29</v>
      </c>
      <c r="C30" s="19" t="s">
        <v>204</v>
      </c>
      <c r="D30" s="19" t="s">
        <v>55</v>
      </c>
      <c r="E30" s="19" t="s">
        <v>205</v>
      </c>
      <c r="F30" s="19"/>
      <c r="G30" s="19" t="s">
        <v>206</v>
      </c>
      <c r="H30" s="19" t="s">
        <v>207</v>
      </c>
      <c r="I30" s="19" t="s">
        <v>208</v>
      </c>
      <c r="J30" s="19" t="n">
        <v>1</v>
      </c>
      <c r="K30" s="19" t="n">
        <v>6</v>
      </c>
      <c r="L30" s="19" t="s">
        <v>209</v>
      </c>
      <c r="M30" s="19"/>
      <c r="N30" s="19" t="s">
        <v>61</v>
      </c>
    </row>
    <row r="31" customFormat="false" ht="34.5" hidden="false" customHeight="true" outlineLevel="0" collapsed="false">
      <c r="A31" s="19" t="s">
        <v>210</v>
      </c>
      <c r="B31" s="19" t="s">
        <v>29</v>
      </c>
      <c r="C31" s="19" t="s">
        <v>211</v>
      </c>
      <c r="D31" s="19" t="s">
        <v>55</v>
      </c>
      <c r="E31" s="19" t="s">
        <v>212</v>
      </c>
      <c r="F31" s="19"/>
      <c r="G31" s="19" t="s">
        <v>194</v>
      </c>
      <c r="H31" s="19" t="s">
        <v>213</v>
      </c>
      <c r="I31" s="19" t="s">
        <v>214</v>
      </c>
      <c r="J31" s="19" t="n">
        <v>1</v>
      </c>
      <c r="K31" s="19" t="n">
        <v>2</v>
      </c>
      <c r="L31" s="19" t="s">
        <v>215</v>
      </c>
      <c r="M31" s="19"/>
      <c r="N31" s="19" t="s">
        <v>61</v>
      </c>
    </row>
    <row r="32" customFormat="false" ht="34.5" hidden="false" customHeight="true" outlineLevel="0" collapsed="false">
      <c r="A32" s="19" t="s">
        <v>216</v>
      </c>
      <c r="B32" s="19" t="s">
        <v>29</v>
      </c>
      <c r="C32" s="19" t="s">
        <v>211</v>
      </c>
      <c r="D32" s="19" t="s">
        <v>55</v>
      </c>
      <c r="E32" s="19" t="s">
        <v>217</v>
      </c>
      <c r="F32" s="19"/>
      <c r="G32" s="19" t="s">
        <v>206</v>
      </c>
      <c r="H32" s="19" t="s">
        <v>218</v>
      </c>
      <c r="I32" s="19" t="s">
        <v>219</v>
      </c>
      <c r="J32" s="19" t="n">
        <v>1</v>
      </c>
      <c r="K32" s="19" t="n">
        <v>1</v>
      </c>
      <c r="L32" s="19" t="s">
        <v>220</v>
      </c>
      <c r="M32" s="19"/>
      <c r="N32" s="19" t="s">
        <v>61</v>
      </c>
    </row>
    <row r="33" customFormat="false" ht="45.75" hidden="false" customHeight="true" outlineLevel="0" collapsed="false">
      <c r="A33" s="19" t="s">
        <v>221</v>
      </c>
      <c r="B33" s="19" t="s">
        <v>29</v>
      </c>
      <c r="C33" s="19" t="s">
        <v>211</v>
      </c>
      <c r="D33" s="19" t="s">
        <v>55</v>
      </c>
      <c r="E33" s="19" t="s">
        <v>222</v>
      </c>
      <c r="F33" s="19"/>
      <c r="G33" s="19" t="s">
        <v>194</v>
      </c>
      <c r="H33" s="19" t="s">
        <v>223</v>
      </c>
      <c r="I33" s="19" t="s">
        <v>224</v>
      </c>
      <c r="J33" s="19" t="n">
        <v>1</v>
      </c>
      <c r="K33" s="19" t="n">
        <v>5</v>
      </c>
      <c r="L33" s="19" t="s">
        <v>225</v>
      </c>
      <c r="M33" s="19"/>
      <c r="N33" s="19" t="s">
        <v>61</v>
      </c>
    </row>
    <row r="34" customFormat="false" ht="34.5" hidden="false" customHeight="true" outlineLevel="0" collapsed="false">
      <c r="A34" s="19" t="s">
        <v>226</v>
      </c>
      <c r="B34" s="19" t="s">
        <v>29</v>
      </c>
      <c r="C34" s="19" t="s">
        <v>227</v>
      </c>
      <c r="D34" s="19" t="s">
        <v>55</v>
      </c>
      <c r="E34" s="19" t="s">
        <v>228</v>
      </c>
      <c r="F34" s="19"/>
      <c r="G34" s="19" t="s">
        <v>194</v>
      </c>
      <c r="H34" s="19" t="s">
        <v>229</v>
      </c>
      <c r="I34" s="19" t="s">
        <v>230</v>
      </c>
      <c r="J34" s="19" t="n">
        <v>1</v>
      </c>
      <c r="K34" s="19" t="n">
        <v>7</v>
      </c>
      <c r="L34" s="19" t="s">
        <v>231</v>
      </c>
      <c r="M34" s="19"/>
      <c r="N34" s="19" t="s">
        <v>61</v>
      </c>
    </row>
    <row r="35" customFormat="false" ht="34.5" hidden="false" customHeight="true" outlineLevel="0" collapsed="false">
      <c r="A35" s="19" t="s">
        <v>232</v>
      </c>
      <c r="B35" s="19" t="s">
        <v>29</v>
      </c>
      <c r="C35" s="19" t="s">
        <v>227</v>
      </c>
      <c r="D35" s="19" t="s">
        <v>55</v>
      </c>
      <c r="E35" s="19" t="s">
        <v>233</v>
      </c>
      <c r="F35" s="19" t="s">
        <v>234</v>
      </c>
      <c r="G35" s="19" t="s">
        <v>194</v>
      </c>
      <c r="H35" s="19" t="s">
        <v>235</v>
      </c>
      <c r="I35" s="19" t="s">
        <v>236</v>
      </c>
      <c r="J35" s="19" t="n">
        <v>1</v>
      </c>
      <c r="K35" s="19" t="n">
        <v>9</v>
      </c>
      <c r="L35" s="19" t="s">
        <v>237</v>
      </c>
      <c r="M35" s="19"/>
      <c r="N35" s="19" t="s">
        <v>61</v>
      </c>
    </row>
    <row r="36" customFormat="false" ht="34.5" hidden="false" customHeight="true" outlineLevel="0" collapsed="false">
      <c r="A36" s="19" t="s">
        <v>238</v>
      </c>
      <c r="B36" s="19" t="s">
        <v>29</v>
      </c>
      <c r="C36" s="19" t="s">
        <v>227</v>
      </c>
      <c r="D36" s="19" t="s">
        <v>55</v>
      </c>
      <c r="E36" s="19" t="s">
        <v>239</v>
      </c>
      <c r="F36" s="19" t="s">
        <v>240</v>
      </c>
      <c r="G36" s="19" t="s">
        <v>194</v>
      </c>
      <c r="H36" s="19" t="s">
        <v>241</v>
      </c>
      <c r="I36" s="19" t="s">
        <v>242</v>
      </c>
      <c r="J36" s="19" t="n">
        <v>1</v>
      </c>
      <c r="K36" s="19" t="n">
        <v>2</v>
      </c>
      <c r="L36" s="19" t="s">
        <v>243</v>
      </c>
      <c r="M36" s="19"/>
      <c r="N36" s="19" t="s">
        <v>61</v>
      </c>
    </row>
    <row r="37" customFormat="false" ht="57" hidden="false" customHeight="true" outlineLevel="0" collapsed="false">
      <c r="A37" s="19" t="s">
        <v>244</v>
      </c>
      <c r="B37" s="19" t="s">
        <v>29</v>
      </c>
      <c r="C37" s="19" t="s">
        <v>227</v>
      </c>
      <c r="D37" s="19" t="s">
        <v>55</v>
      </c>
      <c r="E37" s="19" t="s">
        <v>245</v>
      </c>
      <c r="F37" s="19" t="s">
        <v>246</v>
      </c>
      <c r="G37" s="19" t="s">
        <v>194</v>
      </c>
      <c r="H37" s="19" t="s">
        <v>247</v>
      </c>
      <c r="I37" s="19" t="s">
        <v>248</v>
      </c>
      <c r="J37" s="19" t="n">
        <v>1</v>
      </c>
      <c r="K37" s="19" t="n">
        <v>4</v>
      </c>
      <c r="L37" s="19" t="s">
        <v>249</v>
      </c>
      <c r="M37" s="19"/>
      <c r="N37" s="19" t="s">
        <v>61</v>
      </c>
    </row>
    <row r="38" customFormat="false" ht="57" hidden="false" customHeight="true" outlineLevel="0" collapsed="false">
      <c r="A38" s="19" t="s">
        <v>250</v>
      </c>
      <c r="B38" s="19" t="s">
        <v>29</v>
      </c>
      <c r="C38" s="19" t="s">
        <v>227</v>
      </c>
      <c r="D38" s="19" t="s">
        <v>55</v>
      </c>
      <c r="E38" s="19" t="s">
        <v>251</v>
      </c>
      <c r="F38" s="19"/>
      <c r="G38" s="19" t="s">
        <v>194</v>
      </c>
      <c r="H38" s="19" t="s">
        <v>252</v>
      </c>
      <c r="I38" s="19" t="s">
        <v>253</v>
      </c>
      <c r="J38" s="19" t="n">
        <v>1</v>
      </c>
      <c r="K38" s="19" t="n">
        <v>7</v>
      </c>
      <c r="L38" s="19" t="s">
        <v>254</v>
      </c>
      <c r="M38" s="19"/>
      <c r="N38" s="19" t="s">
        <v>61</v>
      </c>
    </row>
    <row r="39" customFormat="false" ht="45.75" hidden="false" customHeight="true" outlineLevel="0" collapsed="false">
      <c r="A39" s="19" t="s">
        <v>255</v>
      </c>
      <c r="B39" s="19" t="s">
        <v>29</v>
      </c>
      <c r="C39" s="19" t="s">
        <v>211</v>
      </c>
      <c r="D39" s="19" t="s">
        <v>55</v>
      </c>
      <c r="E39" s="19" t="s">
        <v>256</v>
      </c>
      <c r="F39" s="19" t="s">
        <v>257</v>
      </c>
      <c r="G39" s="19" t="s">
        <v>194</v>
      </c>
      <c r="H39" s="19" t="s">
        <v>258</v>
      </c>
      <c r="I39" s="19" t="s">
        <v>259</v>
      </c>
      <c r="J39" s="19" t="n">
        <v>1</v>
      </c>
      <c r="K39" s="19" t="n">
        <v>9</v>
      </c>
      <c r="L39" s="19" t="s">
        <v>260</v>
      </c>
      <c r="M39" s="19"/>
      <c r="N39" s="19" t="s">
        <v>61</v>
      </c>
    </row>
    <row r="40" customFormat="false" ht="34.5" hidden="false" customHeight="true" outlineLevel="0" collapsed="false">
      <c r="A40" s="19" t="s">
        <v>261</v>
      </c>
      <c r="B40" s="19" t="s">
        <v>29</v>
      </c>
      <c r="C40" s="19" t="s">
        <v>227</v>
      </c>
      <c r="D40" s="19" t="s">
        <v>55</v>
      </c>
      <c r="E40" s="19" t="s">
        <v>262</v>
      </c>
      <c r="F40" s="19"/>
      <c r="G40" s="19" t="s">
        <v>194</v>
      </c>
      <c r="H40" s="19" t="s">
        <v>263</v>
      </c>
      <c r="I40" s="19" t="s">
        <v>264</v>
      </c>
      <c r="J40" s="19" t="n">
        <v>1</v>
      </c>
      <c r="K40" s="19" t="n">
        <v>4</v>
      </c>
      <c r="L40" s="19" t="s">
        <v>265</v>
      </c>
      <c r="M40" s="19"/>
      <c r="N40" s="19" t="s">
        <v>61</v>
      </c>
    </row>
    <row r="41" customFormat="false" ht="34.5" hidden="false" customHeight="true" outlineLevel="0" collapsed="false">
      <c r="A41" s="19" t="s">
        <v>266</v>
      </c>
      <c r="B41" s="19" t="s">
        <v>29</v>
      </c>
      <c r="C41" s="19" t="s">
        <v>211</v>
      </c>
      <c r="D41" s="19" t="s">
        <v>55</v>
      </c>
      <c r="E41" s="19" t="s">
        <v>267</v>
      </c>
      <c r="F41" s="19"/>
      <c r="G41" s="19" t="s">
        <v>194</v>
      </c>
      <c r="H41" s="19" t="s">
        <v>268</v>
      </c>
      <c r="I41" s="19" t="s">
        <v>269</v>
      </c>
      <c r="J41" s="19" t="n">
        <v>1</v>
      </c>
      <c r="K41" s="19" t="n">
        <v>7</v>
      </c>
      <c r="L41" s="19" t="s">
        <v>270</v>
      </c>
      <c r="M41" s="19"/>
      <c r="N41" s="19" t="s">
        <v>61</v>
      </c>
    </row>
    <row r="42" customFormat="false" ht="34.5" hidden="false" customHeight="true" outlineLevel="0" collapsed="false">
      <c r="A42" s="19" t="s">
        <v>271</v>
      </c>
      <c r="B42" s="19" t="s">
        <v>29</v>
      </c>
      <c r="C42" s="19" t="s">
        <v>272</v>
      </c>
      <c r="D42" s="19" t="s">
        <v>55</v>
      </c>
      <c r="E42" s="19" t="s">
        <v>273</v>
      </c>
      <c r="F42" s="19" t="s">
        <v>274</v>
      </c>
      <c r="G42" s="19" t="s">
        <v>194</v>
      </c>
      <c r="H42" s="19" t="s">
        <v>275</v>
      </c>
      <c r="I42" s="19" t="s">
        <v>276</v>
      </c>
      <c r="J42" s="19" t="n">
        <v>1</v>
      </c>
      <c r="K42" s="19" t="n">
        <v>4</v>
      </c>
      <c r="L42" s="19" t="s">
        <v>277</v>
      </c>
      <c r="M42" s="19"/>
      <c r="N42" s="19" t="s">
        <v>61</v>
      </c>
    </row>
    <row r="43" customFormat="false" ht="34.5" hidden="false" customHeight="true" outlineLevel="0" collapsed="false">
      <c r="A43" s="19" t="s">
        <v>278</v>
      </c>
      <c r="B43" s="19" t="s">
        <v>29</v>
      </c>
      <c r="C43" s="19" t="s">
        <v>211</v>
      </c>
      <c r="D43" s="19" t="s">
        <v>55</v>
      </c>
      <c r="E43" s="19" t="s">
        <v>279</v>
      </c>
      <c r="F43" s="19" t="s">
        <v>280</v>
      </c>
      <c r="G43" s="19" t="s">
        <v>194</v>
      </c>
      <c r="H43" s="19" t="s">
        <v>275</v>
      </c>
      <c r="I43" s="19" t="s">
        <v>281</v>
      </c>
      <c r="J43" s="19" t="n">
        <v>1</v>
      </c>
      <c r="K43" s="19" t="n">
        <v>3</v>
      </c>
      <c r="L43" s="19" t="s">
        <v>282</v>
      </c>
      <c r="M43" s="19"/>
      <c r="N43" s="19" t="s">
        <v>61</v>
      </c>
    </row>
    <row r="44" customFormat="false" ht="34.5" hidden="false" customHeight="true" outlineLevel="0" collapsed="false">
      <c r="A44" s="19" t="s">
        <v>283</v>
      </c>
      <c r="B44" s="19" t="s">
        <v>29</v>
      </c>
      <c r="C44" s="19" t="s">
        <v>211</v>
      </c>
      <c r="D44" s="19" t="s">
        <v>55</v>
      </c>
      <c r="E44" s="19" t="s">
        <v>284</v>
      </c>
      <c r="F44" s="19"/>
      <c r="G44" s="19" t="s">
        <v>194</v>
      </c>
      <c r="H44" s="19" t="s">
        <v>285</v>
      </c>
      <c r="I44" s="19" t="s">
        <v>286</v>
      </c>
      <c r="J44" s="19" t="n">
        <v>1</v>
      </c>
      <c r="K44" s="19" t="n">
        <v>4</v>
      </c>
      <c r="L44" s="19" t="s">
        <v>287</v>
      </c>
      <c r="M44" s="19"/>
      <c r="N44" s="19" t="s">
        <v>61</v>
      </c>
    </row>
    <row r="45" customFormat="false" ht="34.5" hidden="false" customHeight="true" outlineLevel="0" collapsed="false">
      <c r="A45" s="19" t="s">
        <v>288</v>
      </c>
      <c r="B45" s="19" t="s">
        <v>29</v>
      </c>
      <c r="C45" s="19" t="s">
        <v>227</v>
      </c>
      <c r="D45" s="19" t="s">
        <v>55</v>
      </c>
      <c r="E45" s="19" t="s">
        <v>289</v>
      </c>
      <c r="F45" s="19"/>
      <c r="G45" s="19" t="s">
        <v>194</v>
      </c>
      <c r="H45" s="19" t="s">
        <v>290</v>
      </c>
      <c r="I45" s="19" t="s">
        <v>291</v>
      </c>
      <c r="J45" s="19" t="n">
        <v>1</v>
      </c>
      <c r="K45" s="19" t="n">
        <v>5</v>
      </c>
      <c r="L45" s="19" t="s">
        <v>292</v>
      </c>
      <c r="M45" s="19"/>
      <c r="N45" s="19" t="s">
        <v>61</v>
      </c>
    </row>
    <row r="46" customFormat="false" ht="45.75" hidden="false" customHeight="true" outlineLevel="0" collapsed="false">
      <c r="A46" s="19" t="s">
        <v>293</v>
      </c>
      <c r="B46" s="19" t="s">
        <v>29</v>
      </c>
      <c r="C46" s="19" t="s">
        <v>272</v>
      </c>
      <c r="D46" s="19" t="s">
        <v>55</v>
      </c>
      <c r="E46" s="19" t="s">
        <v>294</v>
      </c>
      <c r="F46" s="19"/>
      <c r="G46" s="19" t="s">
        <v>295</v>
      </c>
      <c r="H46" s="19" t="s">
        <v>296</v>
      </c>
      <c r="I46" s="19" t="s">
        <v>297</v>
      </c>
      <c r="J46" s="19" t="n">
        <v>1</v>
      </c>
      <c r="K46" s="19" t="n">
        <v>2</v>
      </c>
      <c r="L46" s="19" t="s">
        <v>298</v>
      </c>
      <c r="M46" s="19"/>
      <c r="N46" s="19" t="s">
        <v>61</v>
      </c>
    </row>
    <row r="47" customFormat="false" ht="45.75" hidden="false" customHeight="true" outlineLevel="0" collapsed="false">
      <c r="A47" s="19" t="s">
        <v>299</v>
      </c>
      <c r="B47" s="19" t="s">
        <v>29</v>
      </c>
      <c r="C47" s="19" t="s">
        <v>272</v>
      </c>
      <c r="D47" s="19" t="s">
        <v>55</v>
      </c>
      <c r="E47" s="19" t="s">
        <v>300</v>
      </c>
      <c r="F47" s="19"/>
      <c r="G47" s="19" t="s">
        <v>295</v>
      </c>
      <c r="H47" s="19" t="s">
        <v>301</v>
      </c>
      <c r="I47" s="19" t="s">
        <v>302</v>
      </c>
      <c r="J47" s="19" t="n">
        <v>1</v>
      </c>
      <c r="K47" s="19" t="n">
        <v>2</v>
      </c>
      <c r="L47" s="19" t="s">
        <v>303</v>
      </c>
      <c r="M47" s="19"/>
      <c r="N47" s="19" t="s">
        <v>61</v>
      </c>
    </row>
    <row r="48" customFormat="false" ht="34.5" hidden="false" customHeight="true" outlineLevel="0" collapsed="false">
      <c r="A48" s="19" t="s">
        <v>304</v>
      </c>
      <c r="B48" s="19" t="s">
        <v>29</v>
      </c>
      <c r="C48" s="19" t="s">
        <v>272</v>
      </c>
      <c r="D48" s="19" t="s">
        <v>55</v>
      </c>
      <c r="E48" s="19" t="s">
        <v>305</v>
      </c>
      <c r="F48" s="19"/>
      <c r="G48" s="19" t="s">
        <v>194</v>
      </c>
      <c r="H48" s="19" t="s">
        <v>306</v>
      </c>
      <c r="I48" s="19" t="s">
        <v>307</v>
      </c>
      <c r="J48" s="19" t="n">
        <v>1</v>
      </c>
      <c r="K48" s="19" t="n">
        <v>4</v>
      </c>
      <c r="L48" s="19" t="s">
        <v>308</v>
      </c>
      <c r="M48" s="19"/>
      <c r="N48" s="19" t="s">
        <v>61</v>
      </c>
    </row>
    <row r="49" customFormat="false" ht="57" hidden="false" customHeight="true" outlineLevel="0" collapsed="false">
      <c r="A49" s="19" t="s">
        <v>309</v>
      </c>
      <c r="B49" s="19" t="s">
        <v>29</v>
      </c>
      <c r="C49" s="19" t="s">
        <v>272</v>
      </c>
      <c r="D49" s="19" t="s">
        <v>55</v>
      </c>
      <c r="E49" s="19" t="s">
        <v>310</v>
      </c>
      <c r="F49" s="19" t="s">
        <v>311</v>
      </c>
      <c r="G49" s="19" t="s">
        <v>194</v>
      </c>
      <c r="H49" s="19" t="s">
        <v>312</v>
      </c>
      <c r="I49" s="19" t="s">
        <v>313</v>
      </c>
      <c r="J49" s="19" t="n">
        <v>1</v>
      </c>
      <c r="K49" s="19" t="n">
        <v>4</v>
      </c>
      <c r="L49" s="19" t="s">
        <v>314</v>
      </c>
      <c r="M49" s="19"/>
      <c r="N49" s="19" t="s">
        <v>61</v>
      </c>
    </row>
    <row r="50" customFormat="false" ht="45.75" hidden="false" customHeight="true" outlineLevel="0" collapsed="false">
      <c r="A50" s="19" t="s">
        <v>315</v>
      </c>
      <c r="B50" s="19" t="s">
        <v>29</v>
      </c>
      <c r="C50" s="19" t="s">
        <v>272</v>
      </c>
      <c r="D50" s="19" t="s">
        <v>55</v>
      </c>
      <c r="E50" s="19" t="s">
        <v>316</v>
      </c>
      <c r="F50" s="19"/>
      <c r="G50" s="19" t="s">
        <v>317</v>
      </c>
      <c r="H50" s="19" t="s">
        <v>318</v>
      </c>
      <c r="I50" s="19" t="s">
        <v>319</v>
      </c>
      <c r="J50" s="19" t="n">
        <v>1</v>
      </c>
      <c r="K50" s="19" t="n">
        <v>14</v>
      </c>
      <c r="L50" s="19" t="s">
        <v>320</v>
      </c>
      <c r="M50" s="19"/>
      <c r="N50" s="19" t="s">
        <v>61</v>
      </c>
    </row>
    <row r="51" customFormat="false" ht="45.75" hidden="false" customHeight="true" outlineLevel="0" collapsed="false">
      <c r="A51" s="19" t="s">
        <v>321</v>
      </c>
      <c r="B51" s="19" t="s">
        <v>29</v>
      </c>
      <c r="C51" s="19" t="s">
        <v>272</v>
      </c>
      <c r="D51" s="19" t="s">
        <v>55</v>
      </c>
      <c r="E51" s="19" t="s">
        <v>322</v>
      </c>
      <c r="F51" s="19" t="s">
        <v>323</v>
      </c>
      <c r="G51" s="19" t="s">
        <v>317</v>
      </c>
      <c r="H51" s="19" t="s">
        <v>324</v>
      </c>
      <c r="I51" s="19" t="s">
        <v>325</v>
      </c>
      <c r="J51" s="19" t="n">
        <v>1</v>
      </c>
      <c r="K51" s="19" t="n">
        <v>3</v>
      </c>
      <c r="L51" s="19" t="s">
        <v>326</v>
      </c>
      <c r="M51" s="19"/>
      <c r="N51" s="19" t="s">
        <v>61</v>
      </c>
    </row>
    <row r="52" customFormat="false" ht="45.75" hidden="false" customHeight="true" outlineLevel="0" collapsed="false">
      <c r="A52" s="19" t="s">
        <v>327</v>
      </c>
      <c r="B52" s="19" t="s">
        <v>29</v>
      </c>
      <c r="C52" s="19" t="s">
        <v>272</v>
      </c>
      <c r="D52" s="19" t="s">
        <v>55</v>
      </c>
      <c r="E52" s="19" t="s">
        <v>328</v>
      </c>
      <c r="F52" s="19"/>
      <c r="G52" s="19" t="s">
        <v>317</v>
      </c>
      <c r="H52" s="19" t="s">
        <v>329</v>
      </c>
      <c r="I52" s="19" t="s">
        <v>330</v>
      </c>
      <c r="J52" s="19" t="n">
        <v>1</v>
      </c>
      <c r="K52" s="19" t="n">
        <v>4</v>
      </c>
      <c r="L52" s="19" t="s">
        <v>331</v>
      </c>
      <c r="M52" s="19"/>
      <c r="N52" s="19" t="s">
        <v>61</v>
      </c>
    </row>
    <row r="53" customFormat="false" ht="34.5" hidden="false" customHeight="true" outlineLevel="0" collapsed="false">
      <c r="A53" s="19" t="s">
        <v>332</v>
      </c>
      <c r="B53" s="19" t="s">
        <v>29</v>
      </c>
      <c r="C53" s="19" t="s">
        <v>272</v>
      </c>
      <c r="D53" s="19" t="s">
        <v>55</v>
      </c>
      <c r="E53" s="19" t="s">
        <v>333</v>
      </c>
      <c r="F53" s="19"/>
      <c r="G53" s="19" t="s">
        <v>194</v>
      </c>
      <c r="H53" s="19" t="s">
        <v>334</v>
      </c>
      <c r="I53" s="19" t="s">
        <v>335</v>
      </c>
      <c r="J53" s="19" t="n">
        <v>1</v>
      </c>
      <c r="K53" s="19" t="n">
        <v>2</v>
      </c>
      <c r="L53" s="19" t="s">
        <v>336</v>
      </c>
      <c r="M53" s="19"/>
      <c r="N53" s="19" t="s">
        <v>61</v>
      </c>
    </row>
    <row r="54" customFormat="false" ht="45.75" hidden="false" customHeight="true" outlineLevel="0" collapsed="false">
      <c r="A54" s="19" t="s">
        <v>337</v>
      </c>
      <c r="B54" s="19" t="s">
        <v>29</v>
      </c>
      <c r="C54" s="19" t="s">
        <v>272</v>
      </c>
      <c r="D54" s="19" t="s">
        <v>55</v>
      </c>
      <c r="E54" s="19" t="s">
        <v>338</v>
      </c>
      <c r="F54" s="19"/>
      <c r="G54" s="19" t="s">
        <v>317</v>
      </c>
      <c r="H54" s="19" t="s">
        <v>339</v>
      </c>
      <c r="I54" s="19" t="s">
        <v>340</v>
      </c>
      <c r="J54" s="19" t="n">
        <v>1</v>
      </c>
      <c r="K54" s="19" t="n">
        <v>4</v>
      </c>
      <c r="L54" s="19" t="s">
        <v>341</v>
      </c>
      <c r="M54" s="19"/>
      <c r="N54" s="19" t="s">
        <v>61</v>
      </c>
    </row>
    <row r="55" customFormat="false" ht="45.75" hidden="false" customHeight="true" outlineLevel="0" collapsed="false">
      <c r="A55" s="19" t="s">
        <v>342</v>
      </c>
      <c r="B55" s="19" t="s">
        <v>29</v>
      </c>
      <c r="C55" s="19" t="s">
        <v>272</v>
      </c>
      <c r="D55" s="19" t="s">
        <v>55</v>
      </c>
      <c r="E55" s="19" t="s">
        <v>343</v>
      </c>
      <c r="F55" s="19"/>
      <c r="G55" s="19" t="s">
        <v>317</v>
      </c>
      <c r="H55" s="19" t="s">
        <v>344</v>
      </c>
      <c r="I55" s="19" t="s">
        <v>345</v>
      </c>
      <c r="J55" s="19" t="n">
        <v>1</v>
      </c>
      <c r="K55" s="19" t="n">
        <v>3</v>
      </c>
      <c r="L55" s="19" t="s">
        <v>346</v>
      </c>
      <c r="M55" s="19"/>
      <c r="N55" s="19" t="s">
        <v>61</v>
      </c>
    </row>
    <row r="56" customFormat="false" ht="45.75" hidden="false" customHeight="true" outlineLevel="0" collapsed="false">
      <c r="A56" s="19" t="s">
        <v>347</v>
      </c>
      <c r="B56" s="19" t="s">
        <v>29</v>
      </c>
      <c r="C56" s="19" t="s">
        <v>211</v>
      </c>
      <c r="D56" s="19" t="s">
        <v>55</v>
      </c>
      <c r="E56" s="19" t="s">
        <v>348</v>
      </c>
      <c r="F56" s="19"/>
      <c r="G56" s="19" t="s">
        <v>317</v>
      </c>
      <c r="H56" s="19" t="s">
        <v>349</v>
      </c>
      <c r="I56" s="19" t="s">
        <v>350</v>
      </c>
      <c r="J56" s="19" t="n">
        <v>5</v>
      </c>
      <c r="K56" s="19" t="n">
        <v>2</v>
      </c>
      <c r="L56" s="19" t="s">
        <v>351</v>
      </c>
      <c r="M56" s="19"/>
      <c r="N56" s="19" t="s">
        <v>61</v>
      </c>
    </row>
    <row r="57" customFormat="false" ht="45.75" hidden="false" customHeight="true" outlineLevel="0" collapsed="false">
      <c r="A57" s="19" t="s">
        <v>352</v>
      </c>
      <c r="B57" s="19" t="s">
        <v>29</v>
      </c>
      <c r="C57" s="19" t="s">
        <v>211</v>
      </c>
      <c r="D57" s="19" t="s">
        <v>55</v>
      </c>
      <c r="E57" s="19" t="s">
        <v>353</v>
      </c>
      <c r="F57" s="19"/>
      <c r="G57" s="19" t="s">
        <v>317</v>
      </c>
      <c r="H57" s="19" t="s">
        <v>354</v>
      </c>
      <c r="I57" s="19" t="s">
        <v>355</v>
      </c>
      <c r="J57" s="19" t="n">
        <v>1</v>
      </c>
      <c r="K57" s="19" t="n">
        <v>5</v>
      </c>
      <c r="L57" s="19" t="s">
        <v>356</v>
      </c>
      <c r="M57" s="19"/>
      <c r="N57" s="19" t="s">
        <v>61</v>
      </c>
    </row>
    <row r="58" customFormat="false" ht="34.5" hidden="false" customHeight="true" outlineLevel="0" collapsed="false">
      <c r="A58" s="19" t="s">
        <v>357</v>
      </c>
      <c r="B58" s="19" t="s">
        <v>30</v>
      </c>
      <c r="C58" s="19" t="s">
        <v>358</v>
      </c>
      <c r="D58" s="19" t="s">
        <v>55</v>
      </c>
      <c r="E58" s="19" t="s">
        <v>359</v>
      </c>
      <c r="F58" s="19"/>
      <c r="G58" s="19" t="s">
        <v>360</v>
      </c>
      <c r="H58" s="19" t="s">
        <v>361</v>
      </c>
      <c r="I58" s="19" t="s">
        <v>362</v>
      </c>
      <c r="J58" s="19" t="n">
        <v>1</v>
      </c>
      <c r="K58" s="19" t="n">
        <v>16</v>
      </c>
      <c r="L58" s="19" t="s">
        <v>363</v>
      </c>
      <c r="M58" s="19"/>
      <c r="N58" s="19" t="s">
        <v>61</v>
      </c>
    </row>
    <row r="59" customFormat="false" ht="34.5" hidden="false" customHeight="true" outlineLevel="0" collapsed="false">
      <c r="A59" s="19" t="s">
        <v>364</v>
      </c>
      <c r="B59" s="19" t="s">
        <v>30</v>
      </c>
      <c r="C59" s="19" t="s">
        <v>358</v>
      </c>
      <c r="D59" s="19" t="s">
        <v>55</v>
      </c>
      <c r="E59" s="19" t="s">
        <v>365</v>
      </c>
      <c r="F59" s="19"/>
      <c r="G59" s="19" t="s">
        <v>360</v>
      </c>
      <c r="H59" s="19" t="s">
        <v>366</v>
      </c>
      <c r="I59" s="19" t="s">
        <v>367</v>
      </c>
      <c r="J59" s="19" t="n">
        <v>1</v>
      </c>
      <c r="K59" s="19" t="n">
        <v>2</v>
      </c>
      <c r="L59" s="19" t="s">
        <v>368</v>
      </c>
      <c r="M59" s="19"/>
      <c r="N59" s="19" t="s">
        <v>61</v>
      </c>
    </row>
    <row r="60" customFormat="false" ht="34.5" hidden="false" customHeight="true" outlineLevel="0" collapsed="false">
      <c r="A60" s="19" t="s">
        <v>369</v>
      </c>
      <c r="B60" s="19" t="s">
        <v>30</v>
      </c>
      <c r="C60" s="19" t="s">
        <v>358</v>
      </c>
      <c r="D60" s="19" t="s">
        <v>55</v>
      </c>
      <c r="E60" s="19" t="s">
        <v>370</v>
      </c>
      <c r="F60" s="19" t="s">
        <v>371</v>
      </c>
      <c r="G60" s="19" t="s">
        <v>360</v>
      </c>
      <c r="H60" s="19" t="s">
        <v>361</v>
      </c>
      <c r="I60" s="19" t="s">
        <v>372</v>
      </c>
      <c r="J60" s="19" t="n">
        <v>1</v>
      </c>
      <c r="K60" s="19" t="n">
        <v>2</v>
      </c>
      <c r="L60" s="19" t="s">
        <v>373</v>
      </c>
      <c r="M60" s="19"/>
      <c r="N60" s="19" t="s">
        <v>61</v>
      </c>
    </row>
    <row r="61" customFormat="false" ht="57" hidden="false" customHeight="true" outlineLevel="0" collapsed="false">
      <c r="A61" s="19" t="s">
        <v>374</v>
      </c>
      <c r="B61" s="19" t="s">
        <v>30</v>
      </c>
      <c r="C61" s="19" t="s">
        <v>358</v>
      </c>
      <c r="D61" s="19" t="s">
        <v>55</v>
      </c>
      <c r="E61" s="19" t="s">
        <v>375</v>
      </c>
      <c r="F61" s="19" t="s">
        <v>376</v>
      </c>
      <c r="G61" s="19" t="s">
        <v>377</v>
      </c>
      <c r="H61" s="19" t="s">
        <v>366</v>
      </c>
      <c r="I61" s="19" t="s">
        <v>378</v>
      </c>
      <c r="J61" s="19" t="n">
        <v>1</v>
      </c>
      <c r="K61" s="19" t="n">
        <v>3</v>
      </c>
      <c r="L61" s="19" t="s">
        <v>379</v>
      </c>
      <c r="M61" s="19"/>
      <c r="N61" s="19" t="s">
        <v>61</v>
      </c>
    </row>
    <row r="62" customFormat="false" ht="34.5" hidden="false" customHeight="true" outlineLevel="0" collapsed="false">
      <c r="A62" s="19" t="s">
        <v>380</v>
      </c>
      <c r="B62" s="19" t="s">
        <v>30</v>
      </c>
      <c r="C62" s="19" t="s">
        <v>358</v>
      </c>
      <c r="D62" s="19" t="s">
        <v>55</v>
      </c>
      <c r="E62" s="19" t="s">
        <v>381</v>
      </c>
      <c r="F62" s="19"/>
      <c r="G62" s="19" t="s">
        <v>360</v>
      </c>
      <c r="H62" s="19" t="s">
        <v>366</v>
      </c>
      <c r="I62" s="19" t="s">
        <v>382</v>
      </c>
      <c r="J62" s="19" t="n">
        <v>1</v>
      </c>
      <c r="K62" s="19" t="n">
        <v>2</v>
      </c>
      <c r="L62" s="19" t="s">
        <v>383</v>
      </c>
      <c r="M62" s="19"/>
      <c r="N62" s="19" t="s">
        <v>61</v>
      </c>
    </row>
    <row r="63" customFormat="false" ht="34.5" hidden="false" customHeight="true" outlineLevel="0" collapsed="false">
      <c r="A63" s="19" t="s">
        <v>384</v>
      </c>
      <c r="B63" s="19" t="s">
        <v>30</v>
      </c>
      <c r="C63" s="19" t="s">
        <v>358</v>
      </c>
      <c r="D63" s="19" t="s">
        <v>55</v>
      </c>
      <c r="E63" s="19" t="s">
        <v>385</v>
      </c>
      <c r="F63" s="19"/>
      <c r="G63" s="19" t="s">
        <v>360</v>
      </c>
      <c r="H63" s="19" t="s">
        <v>386</v>
      </c>
      <c r="I63" s="19" t="s">
        <v>387</v>
      </c>
      <c r="J63" s="19" t="n">
        <v>3</v>
      </c>
      <c r="K63" s="19" t="n">
        <v>2</v>
      </c>
      <c r="L63" s="19" t="s">
        <v>388</v>
      </c>
      <c r="M63" s="19"/>
      <c r="N63" s="19" t="s">
        <v>61</v>
      </c>
    </row>
    <row r="64" customFormat="false" ht="34.5" hidden="false" customHeight="true" outlineLevel="0" collapsed="false">
      <c r="A64" s="19" t="s">
        <v>389</v>
      </c>
      <c r="B64" s="19" t="s">
        <v>30</v>
      </c>
      <c r="C64" s="19" t="s">
        <v>358</v>
      </c>
      <c r="D64" s="19" t="s">
        <v>55</v>
      </c>
      <c r="E64" s="19" t="s">
        <v>390</v>
      </c>
      <c r="F64" s="19"/>
      <c r="G64" s="19" t="s">
        <v>360</v>
      </c>
      <c r="H64" s="19" t="s">
        <v>386</v>
      </c>
      <c r="I64" s="19" t="s">
        <v>391</v>
      </c>
      <c r="J64" s="19" t="n">
        <v>1</v>
      </c>
      <c r="K64" s="19" t="n">
        <v>4</v>
      </c>
      <c r="L64" s="19" t="s">
        <v>392</v>
      </c>
      <c r="M64" s="19"/>
      <c r="N64" s="19" t="s">
        <v>61</v>
      </c>
    </row>
    <row r="65" customFormat="false" ht="34.5" hidden="false" customHeight="true" outlineLevel="0" collapsed="false">
      <c r="A65" s="19" t="s">
        <v>393</v>
      </c>
      <c r="B65" s="19" t="s">
        <v>30</v>
      </c>
      <c r="C65" s="19" t="s">
        <v>358</v>
      </c>
      <c r="D65" s="19" t="s">
        <v>55</v>
      </c>
      <c r="E65" s="19" t="s">
        <v>394</v>
      </c>
      <c r="F65" s="19"/>
      <c r="G65" s="19" t="s">
        <v>360</v>
      </c>
      <c r="H65" s="19" t="s">
        <v>386</v>
      </c>
      <c r="I65" s="19" t="s">
        <v>395</v>
      </c>
      <c r="J65" s="19" t="n">
        <v>1</v>
      </c>
      <c r="K65" s="19" t="n">
        <v>2</v>
      </c>
      <c r="L65" s="19" t="s">
        <v>396</v>
      </c>
      <c r="M65" s="19"/>
      <c r="N65" s="19" t="s">
        <v>61</v>
      </c>
    </row>
    <row r="66" customFormat="false" ht="34.5" hidden="false" customHeight="true" outlineLevel="0" collapsed="false">
      <c r="A66" s="19" t="s">
        <v>397</v>
      </c>
      <c r="B66" s="19" t="s">
        <v>30</v>
      </c>
      <c r="C66" s="19" t="s">
        <v>398</v>
      </c>
      <c r="D66" s="19" t="s">
        <v>55</v>
      </c>
      <c r="E66" s="19" t="s">
        <v>399</v>
      </c>
      <c r="F66" s="19" t="s">
        <v>400</v>
      </c>
      <c r="G66" s="19" t="s">
        <v>360</v>
      </c>
      <c r="H66" s="19" t="s">
        <v>401</v>
      </c>
      <c r="I66" s="19" t="s">
        <v>402</v>
      </c>
      <c r="J66" s="19" t="n">
        <v>1</v>
      </c>
      <c r="K66" s="19" t="n">
        <v>11</v>
      </c>
      <c r="L66" s="19" t="s">
        <v>403</v>
      </c>
      <c r="M66" s="19"/>
      <c r="N66" s="19" t="s">
        <v>61</v>
      </c>
    </row>
    <row r="67" customFormat="false" ht="34.5" hidden="false" customHeight="true" outlineLevel="0" collapsed="false">
      <c r="A67" s="19" t="s">
        <v>404</v>
      </c>
      <c r="B67" s="19" t="s">
        <v>30</v>
      </c>
      <c r="C67" s="19" t="s">
        <v>398</v>
      </c>
      <c r="D67" s="19" t="s">
        <v>55</v>
      </c>
      <c r="E67" s="19" t="s">
        <v>405</v>
      </c>
      <c r="F67" s="19" t="s">
        <v>406</v>
      </c>
      <c r="G67" s="19" t="s">
        <v>194</v>
      </c>
      <c r="H67" s="19" t="s">
        <v>407</v>
      </c>
      <c r="I67" s="19" t="s">
        <v>408</v>
      </c>
      <c r="J67" s="19" t="n">
        <v>1</v>
      </c>
      <c r="K67" s="19" t="n">
        <v>4</v>
      </c>
      <c r="L67" s="19" t="s">
        <v>409</v>
      </c>
      <c r="M67" s="19"/>
      <c r="N67" s="19" t="s">
        <v>61</v>
      </c>
    </row>
    <row r="68" customFormat="false" ht="45.75" hidden="false" customHeight="true" outlineLevel="0" collapsed="false">
      <c r="A68" s="19" t="s">
        <v>410</v>
      </c>
      <c r="B68" s="19" t="s">
        <v>30</v>
      </c>
      <c r="C68" s="19" t="s">
        <v>398</v>
      </c>
      <c r="D68" s="19" t="s">
        <v>55</v>
      </c>
      <c r="E68" s="19" t="s">
        <v>411</v>
      </c>
      <c r="F68" s="19"/>
      <c r="G68" s="19" t="s">
        <v>412</v>
      </c>
      <c r="H68" s="19" t="s">
        <v>413</v>
      </c>
      <c r="I68" s="19" t="s">
        <v>414</v>
      </c>
      <c r="J68" s="19" t="n">
        <v>1</v>
      </c>
      <c r="K68" s="19" t="n">
        <v>1</v>
      </c>
      <c r="L68" s="19" t="s">
        <v>415</v>
      </c>
      <c r="M68" s="19"/>
      <c r="N68" s="19" t="s">
        <v>61</v>
      </c>
    </row>
    <row r="69" customFormat="false" ht="34.5" hidden="false" customHeight="true" outlineLevel="0" collapsed="false">
      <c r="A69" s="19" t="s">
        <v>416</v>
      </c>
      <c r="B69" s="19" t="s">
        <v>30</v>
      </c>
      <c r="C69" s="19" t="s">
        <v>358</v>
      </c>
      <c r="D69" s="19" t="s">
        <v>55</v>
      </c>
      <c r="E69" s="19" t="s">
        <v>417</v>
      </c>
      <c r="F69" s="19"/>
      <c r="G69" s="19" t="s">
        <v>360</v>
      </c>
      <c r="H69" s="19" t="s">
        <v>418</v>
      </c>
      <c r="I69" s="19" t="s">
        <v>419</v>
      </c>
      <c r="J69" s="19" t="n">
        <v>1</v>
      </c>
      <c r="K69" s="19" t="n">
        <v>7</v>
      </c>
      <c r="L69" s="19" t="s">
        <v>420</v>
      </c>
      <c r="M69" s="19"/>
      <c r="N69" s="19" t="s">
        <v>61</v>
      </c>
    </row>
    <row r="70" customFormat="false" ht="34.5" hidden="false" customHeight="true" outlineLevel="0" collapsed="false">
      <c r="A70" s="19" t="s">
        <v>421</v>
      </c>
      <c r="B70" s="19" t="s">
        <v>30</v>
      </c>
      <c r="C70" s="19" t="s">
        <v>358</v>
      </c>
      <c r="D70" s="19" t="s">
        <v>55</v>
      </c>
      <c r="E70" s="19" t="s">
        <v>422</v>
      </c>
      <c r="F70" s="19"/>
      <c r="G70" s="19" t="s">
        <v>360</v>
      </c>
      <c r="H70" s="19" t="s">
        <v>418</v>
      </c>
      <c r="I70" s="19" t="s">
        <v>423</v>
      </c>
      <c r="J70" s="19" t="n">
        <v>1</v>
      </c>
      <c r="K70" s="19" t="n">
        <v>2</v>
      </c>
      <c r="L70" s="19" t="s">
        <v>424</v>
      </c>
      <c r="M70" s="19"/>
      <c r="N70" s="19" t="s">
        <v>61</v>
      </c>
    </row>
    <row r="71" customFormat="false" ht="57" hidden="false" customHeight="true" outlineLevel="0" collapsed="false">
      <c r="A71" s="19" t="s">
        <v>425</v>
      </c>
      <c r="B71" s="19" t="s">
        <v>30</v>
      </c>
      <c r="C71" s="19" t="s">
        <v>358</v>
      </c>
      <c r="D71" s="19" t="s">
        <v>55</v>
      </c>
      <c r="E71" s="19" t="s">
        <v>426</v>
      </c>
      <c r="F71" s="19" t="s">
        <v>427</v>
      </c>
      <c r="G71" s="19" t="s">
        <v>428</v>
      </c>
      <c r="H71" s="19" t="s">
        <v>418</v>
      </c>
      <c r="I71" s="19" t="s">
        <v>429</v>
      </c>
      <c r="J71" s="19" t="n">
        <v>1</v>
      </c>
      <c r="K71" s="19" t="n">
        <v>2</v>
      </c>
      <c r="L71" s="19" t="s">
        <v>430</v>
      </c>
      <c r="M71" s="19"/>
      <c r="N71" s="19" t="s">
        <v>61</v>
      </c>
    </row>
    <row r="72" customFormat="false" ht="34.5" hidden="false" customHeight="true" outlineLevel="0" collapsed="false">
      <c r="A72" s="19" t="s">
        <v>431</v>
      </c>
      <c r="B72" s="19" t="s">
        <v>30</v>
      </c>
      <c r="C72" s="19" t="s">
        <v>358</v>
      </c>
      <c r="D72" s="19" t="s">
        <v>55</v>
      </c>
      <c r="E72" s="19" t="s">
        <v>432</v>
      </c>
      <c r="F72" s="19" t="s">
        <v>433</v>
      </c>
      <c r="G72" s="19" t="s">
        <v>360</v>
      </c>
      <c r="H72" s="19" t="s">
        <v>386</v>
      </c>
      <c r="I72" s="19" t="s">
        <v>434</v>
      </c>
      <c r="J72" s="19" t="n">
        <v>1</v>
      </c>
      <c r="K72" s="19" t="n">
        <v>2</v>
      </c>
      <c r="L72" s="19" t="s">
        <v>435</v>
      </c>
      <c r="M72" s="19"/>
      <c r="N72" s="19" t="s">
        <v>61</v>
      </c>
    </row>
    <row r="73" customFormat="false" ht="45.75" hidden="false" customHeight="true" outlineLevel="0" collapsed="false">
      <c r="A73" s="19" t="s">
        <v>436</v>
      </c>
      <c r="B73" s="19" t="s">
        <v>30</v>
      </c>
      <c r="C73" s="19" t="s">
        <v>358</v>
      </c>
      <c r="D73" s="19" t="s">
        <v>55</v>
      </c>
      <c r="E73" s="19" t="s">
        <v>437</v>
      </c>
      <c r="F73" s="19"/>
      <c r="G73" s="19" t="s">
        <v>360</v>
      </c>
      <c r="H73" s="19" t="s">
        <v>438</v>
      </c>
      <c r="I73" s="19" t="s">
        <v>439</v>
      </c>
      <c r="J73" s="19" t="n">
        <v>1</v>
      </c>
      <c r="K73" s="19" t="n">
        <v>4</v>
      </c>
      <c r="L73" s="19" t="s">
        <v>440</v>
      </c>
      <c r="M73" s="19"/>
      <c r="N73" s="19" t="s">
        <v>61</v>
      </c>
    </row>
    <row r="74" customFormat="false" ht="34.5" hidden="false" customHeight="true" outlineLevel="0" collapsed="false">
      <c r="A74" s="19" t="s">
        <v>441</v>
      </c>
      <c r="B74" s="19" t="s">
        <v>30</v>
      </c>
      <c r="C74" s="19" t="s">
        <v>358</v>
      </c>
      <c r="D74" s="19" t="s">
        <v>55</v>
      </c>
      <c r="E74" s="19" t="s">
        <v>442</v>
      </c>
      <c r="F74" s="19" t="s">
        <v>443</v>
      </c>
      <c r="G74" s="19" t="s">
        <v>360</v>
      </c>
      <c r="H74" s="19" t="s">
        <v>444</v>
      </c>
      <c r="I74" s="19" t="s">
        <v>445</v>
      </c>
      <c r="J74" s="19" t="n">
        <v>1</v>
      </c>
      <c r="K74" s="19" t="n">
        <v>1</v>
      </c>
      <c r="L74" s="19" t="s">
        <v>446</v>
      </c>
      <c r="M74" s="19"/>
      <c r="N74" s="19" t="s">
        <v>61</v>
      </c>
    </row>
    <row r="75" customFormat="false" ht="34.5" hidden="false" customHeight="true" outlineLevel="0" collapsed="false">
      <c r="A75" s="19" t="s">
        <v>447</v>
      </c>
      <c r="B75" s="19" t="s">
        <v>30</v>
      </c>
      <c r="C75" s="19" t="s">
        <v>358</v>
      </c>
      <c r="D75" s="19" t="s">
        <v>55</v>
      </c>
      <c r="E75" s="19" t="s">
        <v>448</v>
      </c>
      <c r="F75" s="19"/>
      <c r="G75" s="19" t="s">
        <v>449</v>
      </c>
      <c r="H75" s="19" t="s">
        <v>450</v>
      </c>
      <c r="I75" s="19" t="s">
        <v>451</v>
      </c>
      <c r="J75" s="19" t="n">
        <v>1</v>
      </c>
      <c r="K75" s="19" t="n">
        <v>10</v>
      </c>
      <c r="L75" s="19" t="s">
        <v>452</v>
      </c>
      <c r="M75" s="19"/>
      <c r="N75" s="19" t="s">
        <v>61</v>
      </c>
    </row>
    <row r="76" customFormat="false" ht="45.75" hidden="false" customHeight="true" outlineLevel="0" collapsed="false">
      <c r="A76" s="19" t="s">
        <v>453</v>
      </c>
      <c r="B76" s="19" t="s">
        <v>30</v>
      </c>
      <c r="C76" s="19" t="s">
        <v>358</v>
      </c>
      <c r="D76" s="19" t="s">
        <v>55</v>
      </c>
      <c r="E76" s="19" t="s">
        <v>454</v>
      </c>
      <c r="F76" s="19"/>
      <c r="G76" s="19" t="s">
        <v>455</v>
      </c>
      <c r="H76" s="19" t="s">
        <v>456</v>
      </c>
      <c r="I76" s="19" t="s">
        <v>457</v>
      </c>
      <c r="J76" s="19" t="n">
        <v>1</v>
      </c>
      <c r="K76" s="19" t="n">
        <v>9</v>
      </c>
      <c r="L76" s="19" t="s">
        <v>458</v>
      </c>
      <c r="M76" s="19"/>
      <c r="N76" s="19" t="s">
        <v>61</v>
      </c>
    </row>
    <row r="77" customFormat="false" ht="68.25" hidden="false" customHeight="true" outlineLevel="0" collapsed="false">
      <c r="A77" s="19" t="s">
        <v>459</v>
      </c>
      <c r="B77" s="19" t="s">
        <v>30</v>
      </c>
      <c r="C77" s="19" t="s">
        <v>358</v>
      </c>
      <c r="D77" s="19" t="s">
        <v>55</v>
      </c>
      <c r="E77" s="19" t="s">
        <v>460</v>
      </c>
      <c r="F77" s="19"/>
      <c r="G77" s="19" t="s">
        <v>449</v>
      </c>
      <c r="H77" s="19" t="s">
        <v>461</v>
      </c>
      <c r="I77" s="19" t="s">
        <v>462</v>
      </c>
      <c r="J77" s="19" t="n">
        <v>1</v>
      </c>
      <c r="K77" s="19" t="n">
        <v>4</v>
      </c>
      <c r="L77" s="19" t="s">
        <v>463</v>
      </c>
      <c r="M77" s="19"/>
      <c r="N77" s="19" t="s">
        <v>61</v>
      </c>
    </row>
    <row r="78" customFormat="false" ht="23.25" hidden="false" customHeight="true" outlineLevel="0" collapsed="false">
      <c r="A78" s="19" t="s">
        <v>464</v>
      </c>
      <c r="B78" s="19" t="s">
        <v>30</v>
      </c>
      <c r="C78" s="19" t="s">
        <v>358</v>
      </c>
      <c r="D78" s="19" t="s">
        <v>55</v>
      </c>
      <c r="E78" s="19" t="s">
        <v>465</v>
      </c>
      <c r="F78" s="19"/>
      <c r="G78" s="19" t="s">
        <v>64</v>
      </c>
      <c r="H78" s="19" t="s">
        <v>466</v>
      </c>
      <c r="I78" s="19" t="s">
        <v>467</v>
      </c>
      <c r="J78" s="19" t="n">
        <v>3</v>
      </c>
      <c r="K78" s="19" t="n">
        <v>2</v>
      </c>
      <c r="L78" s="19" t="s">
        <v>468</v>
      </c>
      <c r="M78" s="19"/>
      <c r="N78" s="19" t="s">
        <v>61</v>
      </c>
    </row>
    <row r="79" customFormat="false" ht="34.5" hidden="false" customHeight="true" outlineLevel="0" collapsed="false">
      <c r="A79" s="19" t="s">
        <v>469</v>
      </c>
      <c r="B79" s="19" t="s">
        <v>30</v>
      </c>
      <c r="C79" s="19" t="s">
        <v>358</v>
      </c>
      <c r="D79" s="19" t="s">
        <v>55</v>
      </c>
      <c r="E79" s="19" t="s">
        <v>470</v>
      </c>
      <c r="F79" s="19"/>
      <c r="G79" s="19" t="s">
        <v>64</v>
      </c>
      <c r="H79" s="19" t="s">
        <v>471</v>
      </c>
      <c r="I79" s="19" t="s">
        <v>472</v>
      </c>
      <c r="J79" s="19" t="n">
        <v>1</v>
      </c>
      <c r="K79" s="19" t="n">
        <v>1</v>
      </c>
      <c r="L79" s="19" t="s">
        <v>473</v>
      </c>
      <c r="M79" s="19"/>
      <c r="N79" s="19" t="s">
        <v>61</v>
      </c>
    </row>
    <row r="80" customFormat="false" ht="34.5" hidden="false" customHeight="true" outlineLevel="0" collapsed="false">
      <c r="A80" s="19" t="s">
        <v>474</v>
      </c>
      <c r="B80" s="19" t="s">
        <v>30</v>
      </c>
      <c r="C80" s="19" t="s">
        <v>358</v>
      </c>
      <c r="D80" s="19" t="s">
        <v>55</v>
      </c>
      <c r="E80" s="19" t="s">
        <v>475</v>
      </c>
      <c r="F80" s="19" t="s">
        <v>476</v>
      </c>
      <c r="G80" s="19" t="s">
        <v>194</v>
      </c>
      <c r="H80" s="19" t="s">
        <v>477</v>
      </c>
      <c r="I80" s="19" t="s">
        <v>478</v>
      </c>
      <c r="J80" s="19" t="n">
        <v>1</v>
      </c>
      <c r="K80" s="19" t="n">
        <v>5</v>
      </c>
      <c r="L80" s="19" t="s">
        <v>479</v>
      </c>
      <c r="M80" s="19"/>
      <c r="N80" s="19" t="s">
        <v>61</v>
      </c>
    </row>
    <row r="81" customFormat="false" ht="34.5" hidden="false" customHeight="true" outlineLevel="0" collapsed="false">
      <c r="A81" s="19" t="s">
        <v>480</v>
      </c>
      <c r="B81" s="19" t="s">
        <v>30</v>
      </c>
      <c r="C81" s="19" t="s">
        <v>358</v>
      </c>
      <c r="D81" s="19" t="s">
        <v>55</v>
      </c>
      <c r="E81" s="19" t="s">
        <v>481</v>
      </c>
      <c r="F81" s="19"/>
      <c r="G81" s="19" t="s">
        <v>360</v>
      </c>
      <c r="H81" s="19" t="s">
        <v>482</v>
      </c>
      <c r="I81" s="19" t="s">
        <v>483</v>
      </c>
      <c r="J81" s="19" t="n">
        <v>1</v>
      </c>
      <c r="K81" s="19" t="n">
        <v>2</v>
      </c>
      <c r="L81" s="19" t="s">
        <v>484</v>
      </c>
      <c r="M81" s="19"/>
      <c r="N81" s="19" t="s">
        <v>61</v>
      </c>
    </row>
    <row r="82" customFormat="false" ht="34.5" hidden="false" customHeight="true" outlineLevel="0" collapsed="false">
      <c r="A82" s="19" t="s">
        <v>485</v>
      </c>
      <c r="B82" s="19" t="s">
        <v>30</v>
      </c>
      <c r="C82" s="19" t="s">
        <v>358</v>
      </c>
      <c r="D82" s="19" t="s">
        <v>55</v>
      </c>
      <c r="E82" s="19" t="s">
        <v>486</v>
      </c>
      <c r="F82" s="19" t="s">
        <v>487</v>
      </c>
      <c r="G82" s="19" t="s">
        <v>360</v>
      </c>
      <c r="H82" s="19" t="s">
        <v>482</v>
      </c>
      <c r="I82" s="19" t="s">
        <v>488</v>
      </c>
      <c r="J82" s="19" t="n">
        <v>1</v>
      </c>
      <c r="K82" s="19" t="n">
        <v>2</v>
      </c>
      <c r="L82" s="19" t="s">
        <v>489</v>
      </c>
      <c r="M82" s="19"/>
      <c r="N82" s="19" t="s">
        <v>61</v>
      </c>
    </row>
    <row r="83" customFormat="false" ht="23.25" hidden="false" customHeight="true" outlineLevel="0" collapsed="false">
      <c r="A83" s="19" t="s">
        <v>490</v>
      </c>
      <c r="B83" s="19" t="s">
        <v>31</v>
      </c>
      <c r="C83" s="19" t="s">
        <v>491</v>
      </c>
      <c r="D83" s="19" t="s">
        <v>492</v>
      </c>
      <c r="E83" s="19" t="s">
        <v>493</v>
      </c>
      <c r="F83" s="19" t="s">
        <v>494</v>
      </c>
      <c r="G83" s="19" t="s">
        <v>495</v>
      </c>
      <c r="H83" s="19" t="s">
        <v>496</v>
      </c>
      <c r="I83" s="19" t="s">
        <v>497</v>
      </c>
      <c r="J83" s="19" t="n">
        <v>1</v>
      </c>
      <c r="K83" s="19" t="n">
        <v>2</v>
      </c>
      <c r="L83" s="19" t="s">
        <v>498</v>
      </c>
      <c r="M83" s="19"/>
      <c r="N83" s="19" t="s">
        <v>61</v>
      </c>
    </row>
    <row r="84" customFormat="false" ht="15" hidden="false" customHeight="true" outlineLevel="0" collapsed="false">
      <c r="A84" s="19" t="s">
        <v>499</v>
      </c>
      <c r="B84" s="19" t="s">
        <v>31</v>
      </c>
      <c r="C84" s="19" t="s">
        <v>491</v>
      </c>
      <c r="D84" s="19" t="s">
        <v>492</v>
      </c>
      <c r="E84" s="19" t="s">
        <v>500</v>
      </c>
      <c r="F84" s="19"/>
      <c r="G84" s="19" t="s">
        <v>57</v>
      </c>
      <c r="H84" s="19" t="s">
        <v>501</v>
      </c>
      <c r="I84" s="19" t="s">
        <v>502</v>
      </c>
      <c r="J84" s="19" t="n">
        <v>1</v>
      </c>
      <c r="K84" s="19" t="n">
        <v>2</v>
      </c>
      <c r="L84" s="19" t="s">
        <v>503</v>
      </c>
      <c r="M84" s="19"/>
      <c r="N84" s="19" t="s">
        <v>61</v>
      </c>
    </row>
    <row r="85" customFormat="false" ht="34.5" hidden="false" customHeight="true" outlineLevel="0" collapsed="false">
      <c r="A85" s="19" t="s">
        <v>504</v>
      </c>
      <c r="B85" s="19" t="s">
        <v>31</v>
      </c>
      <c r="C85" s="19" t="s">
        <v>491</v>
      </c>
      <c r="D85" s="19" t="s">
        <v>492</v>
      </c>
      <c r="E85" s="19" t="s">
        <v>505</v>
      </c>
      <c r="F85" s="19" t="s">
        <v>506</v>
      </c>
      <c r="G85" s="19" t="s">
        <v>507</v>
      </c>
      <c r="H85" s="19" t="s">
        <v>496</v>
      </c>
      <c r="I85" s="19" t="s">
        <v>508</v>
      </c>
      <c r="J85" s="19" t="n">
        <v>1</v>
      </c>
      <c r="K85" s="19" t="n">
        <v>3</v>
      </c>
      <c r="L85" s="19" t="s">
        <v>509</v>
      </c>
      <c r="M85" s="19"/>
      <c r="N85" s="19" t="s">
        <v>61</v>
      </c>
    </row>
    <row r="86" customFormat="false" ht="34.5" hidden="false" customHeight="true" outlineLevel="0" collapsed="false">
      <c r="A86" s="19" t="s">
        <v>510</v>
      </c>
      <c r="B86" s="19" t="s">
        <v>31</v>
      </c>
      <c r="C86" s="19" t="s">
        <v>491</v>
      </c>
      <c r="D86" s="19" t="s">
        <v>492</v>
      </c>
      <c r="E86" s="19" t="s">
        <v>511</v>
      </c>
      <c r="F86" s="19" t="s">
        <v>512</v>
      </c>
      <c r="G86" s="19" t="s">
        <v>507</v>
      </c>
      <c r="H86" s="19" t="s">
        <v>496</v>
      </c>
      <c r="I86" s="19" t="s">
        <v>513</v>
      </c>
      <c r="J86" s="19" t="n">
        <v>1</v>
      </c>
      <c r="K86" s="19" t="n">
        <v>1</v>
      </c>
      <c r="L86" s="19" t="s">
        <v>514</v>
      </c>
      <c r="M86" s="19"/>
      <c r="N86" s="19" t="s">
        <v>61</v>
      </c>
    </row>
    <row r="87" customFormat="false" ht="34.5" hidden="false" customHeight="true" outlineLevel="0" collapsed="false">
      <c r="A87" s="19" t="s">
        <v>515</v>
      </c>
      <c r="B87" s="19" t="s">
        <v>31</v>
      </c>
      <c r="C87" s="19" t="s">
        <v>491</v>
      </c>
      <c r="D87" s="19" t="s">
        <v>492</v>
      </c>
      <c r="E87" s="19" t="s">
        <v>516</v>
      </c>
      <c r="F87" s="19" t="s">
        <v>517</v>
      </c>
      <c r="G87" s="19" t="s">
        <v>507</v>
      </c>
      <c r="H87" s="19" t="s">
        <v>496</v>
      </c>
      <c r="I87" s="19" t="s">
        <v>518</v>
      </c>
      <c r="J87" s="19" t="n">
        <v>1</v>
      </c>
      <c r="K87" s="19" t="n">
        <v>1</v>
      </c>
      <c r="L87" s="19" t="s">
        <v>519</v>
      </c>
      <c r="M87" s="19"/>
      <c r="N87" s="19" t="s">
        <v>61</v>
      </c>
    </row>
    <row r="88" customFormat="false" ht="34.5" hidden="false" customHeight="true" outlineLevel="0" collapsed="false">
      <c r="A88" s="19" t="s">
        <v>520</v>
      </c>
      <c r="B88" s="19" t="s">
        <v>31</v>
      </c>
      <c r="C88" s="19" t="s">
        <v>491</v>
      </c>
      <c r="D88" s="19" t="s">
        <v>492</v>
      </c>
      <c r="E88" s="19" t="s">
        <v>521</v>
      </c>
      <c r="F88" s="19" t="s">
        <v>522</v>
      </c>
      <c r="G88" s="19" t="s">
        <v>507</v>
      </c>
      <c r="H88" s="19" t="s">
        <v>496</v>
      </c>
      <c r="I88" s="19" t="s">
        <v>523</v>
      </c>
      <c r="J88" s="19" t="n">
        <v>1</v>
      </c>
      <c r="K88" s="19" t="n">
        <v>1</v>
      </c>
      <c r="L88" s="19" t="s">
        <v>524</v>
      </c>
      <c r="M88" s="19"/>
      <c r="N88" s="19" t="s">
        <v>61</v>
      </c>
    </row>
    <row r="89" customFormat="false" ht="34.5" hidden="false" customHeight="true" outlineLevel="0" collapsed="false">
      <c r="A89" s="19" t="s">
        <v>525</v>
      </c>
      <c r="B89" s="19" t="s">
        <v>31</v>
      </c>
      <c r="C89" s="19" t="s">
        <v>491</v>
      </c>
      <c r="D89" s="19" t="s">
        <v>492</v>
      </c>
      <c r="E89" s="19" t="s">
        <v>526</v>
      </c>
      <c r="F89" s="19" t="s">
        <v>527</v>
      </c>
      <c r="G89" s="19" t="s">
        <v>507</v>
      </c>
      <c r="H89" s="19" t="s">
        <v>496</v>
      </c>
      <c r="I89" s="19" t="s">
        <v>528</v>
      </c>
      <c r="J89" s="19" t="n">
        <v>1</v>
      </c>
      <c r="K89" s="19" t="n">
        <v>4</v>
      </c>
      <c r="L89" s="19" t="s">
        <v>529</v>
      </c>
      <c r="M89" s="19"/>
      <c r="N89" s="19" t="s">
        <v>61</v>
      </c>
    </row>
    <row r="90" customFormat="false" ht="34.5" hidden="false" customHeight="true" outlineLevel="0" collapsed="false">
      <c r="A90" s="19" t="s">
        <v>530</v>
      </c>
      <c r="B90" s="19" t="s">
        <v>31</v>
      </c>
      <c r="C90" s="19" t="s">
        <v>491</v>
      </c>
      <c r="D90" s="19" t="s">
        <v>492</v>
      </c>
      <c r="E90" s="19" t="s">
        <v>531</v>
      </c>
      <c r="F90" s="19" t="s">
        <v>532</v>
      </c>
      <c r="G90" s="19" t="s">
        <v>533</v>
      </c>
      <c r="H90" s="19" t="s">
        <v>496</v>
      </c>
      <c r="I90" s="19" t="s">
        <v>534</v>
      </c>
      <c r="J90" s="19" t="n">
        <v>1</v>
      </c>
      <c r="K90" s="19" t="n">
        <v>2</v>
      </c>
      <c r="L90" s="19" t="s">
        <v>535</v>
      </c>
      <c r="M90" s="19"/>
      <c r="N90" s="19" t="s">
        <v>61</v>
      </c>
    </row>
    <row r="91" customFormat="false" ht="45.75" hidden="false" customHeight="true" outlineLevel="0" collapsed="false">
      <c r="A91" s="19" t="s">
        <v>536</v>
      </c>
      <c r="B91" s="19" t="s">
        <v>31</v>
      </c>
      <c r="C91" s="19" t="s">
        <v>491</v>
      </c>
      <c r="D91" s="19" t="s">
        <v>492</v>
      </c>
      <c r="E91" s="19" t="s">
        <v>537</v>
      </c>
      <c r="F91" s="19" t="s">
        <v>538</v>
      </c>
      <c r="G91" s="19" t="s">
        <v>539</v>
      </c>
      <c r="H91" s="19" t="s">
        <v>496</v>
      </c>
      <c r="I91" s="19" t="s">
        <v>540</v>
      </c>
      <c r="J91" s="19" t="n">
        <v>1</v>
      </c>
      <c r="K91" s="19" t="n">
        <v>1</v>
      </c>
      <c r="L91" s="19" t="s">
        <v>541</v>
      </c>
      <c r="M91" s="19"/>
      <c r="N91" s="19" t="s">
        <v>61</v>
      </c>
    </row>
    <row r="92" customFormat="false" ht="34.5" hidden="false" customHeight="true" outlineLevel="0" collapsed="false">
      <c r="A92" s="19" t="s">
        <v>542</v>
      </c>
      <c r="B92" s="19" t="s">
        <v>32</v>
      </c>
      <c r="C92" s="19" t="s">
        <v>543</v>
      </c>
      <c r="D92" s="19" t="s">
        <v>55</v>
      </c>
      <c r="E92" s="19" t="s">
        <v>544</v>
      </c>
      <c r="F92" s="19"/>
      <c r="G92" s="19" t="s">
        <v>545</v>
      </c>
      <c r="H92" s="19" t="s">
        <v>546</v>
      </c>
      <c r="I92" s="19" t="s">
        <v>547</v>
      </c>
      <c r="J92" s="19" t="n">
        <v>1</v>
      </c>
      <c r="K92" s="19" t="n">
        <v>5</v>
      </c>
      <c r="L92" s="19" t="s">
        <v>548</v>
      </c>
      <c r="M92" s="19"/>
      <c r="N92" s="19" t="s">
        <v>61</v>
      </c>
    </row>
    <row r="93" customFormat="false" ht="34.5" hidden="false" customHeight="true" outlineLevel="0" collapsed="false">
      <c r="A93" s="19" t="s">
        <v>549</v>
      </c>
      <c r="B93" s="19" t="s">
        <v>32</v>
      </c>
      <c r="C93" s="19" t="s">
        <v>543</v>
      </c>
      <c r="D93" s="19" t="s">
        <v>55</v>
      </c>
      <c r="E93" s="19" t="s">
        <v>550</v>
      </c>
      <c r="F93" s="19"/>
      <c r="G93" s="19" t="s">
        <v>545</v>
      </c>
      <c r="H93" s="19" t="s">
        <v>551</v>
      </c>
      <c r="I93" s="19" t="s">
        <v>552</v>
      </c>
      <c r="J93" s="19" t="n">
        <v>6</v>
      </c>
      <c r="K93" s="19" t="n">
        <v>2</v>
      </c>
      <c r="L93" s="19" t="s">
        <v>553</v>
      </c>
      <c r="M93" s="19"/>
      <c r="N93" s="19" t="s">
        <v>61</v>
      </c>
    </row>
    <row r="94" customFormat="false" ht="23.25" hidden="false" customHeight="true" outlineLevel="0" collapsed="false">
      <c r="A94" s="19" t="s">
        <v>554</v>
      </c>
      <c r="B94" s="19" t="s">
        <v>32</v>
      </c>
      <c r="C94" s="19" t="s">
        <v>543</v>
      </c>
      <c r="D94" s="19" t="s">
        <v>55</v>
      </c>
      <c r="E94" s="19" t="s">
        <v>555</v>
      </c>
      <c r="F94" s="19"/>
      <c r="G94" s="19" t="s">
        <v>64</v>
      </c>
      <c r="H94" s="19" t="s">
        <v>551</v>
      </c>
      <c r="I94" s="19" t="s">
        <v>556</v>
      </c>
      <c r="J94" s="19" t="n">
        <v>3</v>
      </c>
      <c r="K94" s="19" t="n">
        <v>2</v>
      </c>
      <c r="L94" s="19" t="s">
        <v>557</v>
      </c>
      <c r="M94" s="19"/>
      <c r="N94" s="19" t="s">
        <v>61</v>
      </c>
    </row>
    <row r="95" customFormat="false" ht="34.5" hidden="false" customHeight="true" outlineLevel="0" collapsed="false">
      <c r="A95" s="19" t="s">
        <v>558</v>
      </c>
      <c r="B95" s="19" t="s">
        <v>32</v>
      </c>
      <c r="C95" s="19" t="s">
        <v>543</v>
      </c>
      <c r="D95" s="19" t="s">
        <v>55</v>
      </c>
      <c r="E95" s="19" t="s">
        <v>559</v>
      </c>
      <c r="F95" s="19"/>
      <c r="G95" s="19" t="s">
        <v>545</v>
      </c>
      <c r="H95" s="19" t="s">
        <v>560</v>
      </c>
      <c r="I95" s="19" t="s">
        <v>561</v>
      </c>
      <c r="J95" s="19" t="n">
        <v>1</v>
      </c>
      <c r="K95" s="19" t="n">
        <v>7</v>
      </c>
      <c r="L95" s="19" t="s">
        <v>562</v>
      </c>
      <c r="M95" s="19"/>
      <c r="N95" s="19" t="s">
        <v>61</v>
      </c>
    </row>
    <row r="96" customFormat="false" ht="34.5" hidden="false" customHeight="true" outlineLevel="0" collapsed="false">
      <c r="A96" s="19" t="s">
        <v>563</v>
      </c>
      <c r="B96" s="19" t="s">
        <v>32</v>
      </c>
      <c r="C96" s="19" t="s">
        <v>543</v>
      </c>
      <c r="D96" s="19" t="s">
        <v>55</v>
      </c>
      <c r="E96" s="19" t="s">
        <v>564</v>
      </c>
      <c r="F96" s="19"/>
      <c r="G96" s="19" t="s">
        <v>545</v>
      </c>
      <c r="H96" s="19" t="s">
        <v>565</v>
      </c>
      <c r="I96" s="19" t="s">
        <v>566</v>
      </c>
      <c r="J96" s="19" t="n">
        <v>1</v>
      </c>
      <c r="K96" s="19" t="n">
        <v>9</v>
      </c>
      <c r="L96" s="19" t="s">
        <v>567</v>
      </c>
      <c r="M96" s="19"/>
      <c r="N96" s="19" t="s">
        <v>61</v>
      </c>
    </row>
    <row r="97" customFormat="false" ht="34.5" hidden="false" customHeight="true" outlineLevel="0" collapsed="false">
      <c r="A97" s="19" t="s">
        <v>568</v>
      </c>
      <c r="B97" s="19" t="s">
        <v>32</v>
      </c>
      <c r="C97" s="19" t="s">
        <v>543</v>
      </c>
      <c r="D97" s="19" t="s">
        <v>55</v>
      </c>
      <c r="E97" s="19" t="s">
        <v>569</v>
      </c>
      <c r="F97" s="19"/>
      <c r="G97" s="19" t="s">
        <v>545</v>
      </c>
      <c r="H97" s="19" t="s">
        <v>570</v>
      </c>
      <c r="I97" s="19" t="s">
        <v>571</v>
      </c>
      <c r="J97" s="19" t="n">
        <v>1</v>
      </c>
      <c r="K97" s="19" t="n">
        <v>4</v>
      </c>
      <c r="L97" s="19" t="s">
        <v>572</v>
      </c>
      <c r="M97" s="19"/>
      <c r="N97" s="19" t="s">
        <v>61</v>
      </c>
    </row>
    <row r="98" customFormat="false" ht="45.75" hidden="false" customHeight="true" outlineLevel="0" collapsed="false">
      <c r="A98" s="19" t="s">
        <v>573</v>
      </c>
      <c r="B98" s="19" t="s">
        <v>32</v>
      </c>
      <c r="C98" s="19" t="s">
        <v>574</v>
      </c>
      <c r="D98" s="19" t="s">
        <v>55</v>
      </c>
      <c r="E98" s="19" t="s">
        <v>575</v>
      </c>
      <c r="F98" s="19"/>
      <c r="G98" s="19" t="s">
        <v>545</v>
      </c>
      <c r="H98" s="19" t="s">
        <v>576</v>
      </c>
      <c r="I98" s="19" t="s">
        <v>577</v>
      </c>
      <c r="J98" s="19" t="n">
        <v>1</v>
      </c>
      <c r="K98" s="19" t="n">
        <v>5</v>
      </c>
      <c r="L98" s="19" t="s">
        <v>578</v>
      </c>
      <c r="M98" s="19"/>
      <c r="N98" s="19" t="s">
        <v>61</v>
      </c>
    </row>
    <row r="99" customFormat="false" ht="34.5" hidden="false" customHeight="true" outlineLevel="0" collapsed="false">
      <c r="A99" s="19" t="s">
        <v>579</v>
      </c>
      <c r="B99" s="19" t="s">
        <v>32</v>
      </c>
      <c r="C99" s="19" t="s">
        <v>580</v>
      </c>
      <c r="D99" s="19" t="s">
        <v>55</v>
      </c>
      <c r="E99" s="19" t="s">
        <v>581</v>
      </c>
      <c r="F99" s="19"/>
      <c r="G99" s="19" t="s">
        <v>545</v>
      </c>
      <c r="H99" s="19" t="s">
        <v>582</v>
      </c>
      <c r="I99" s="19" t="s">
        <v>583</v>
      </c>
      <c r="J99" s="19" t="n">
        <v>1</v>
      </c>
      <c r="K99" s="19" t="n">
        <v>3</v>
      </c>
      <c r="L99" s="19" t="s">
        <v>584</v>
      </c>
      <c r="M99" s="19"/>
      <c r="N99" s="19" t="s">
        <v>61</v>
      </c>
    </row>
    <row r="100" customFormat="false" ht="57" hidden="false" customHeight="true" outlineLevel="0" collapsed="false">
      <c r="A100" s="19" t="s">
        <v>585</v>
      </c>
      <c r="B100" s="19" t="s">
        <v>32</v>
      </c>
      <c r="C100" s="19" t="s">
        <v>580</v>
      </c>
      <c r="D100" s="19" t="s">
        <v>55</v>
      </c>
      <c r="E100" s="19" t="s">
        <v>586</v>
      </c>
      <c r="F100" s="19"/>
      <c r="G100" s="19" t="s">
        <v>587</v>
      </c>
      <c r="H100" s="19" t="s">
        <v>588</v>
      </c>
      <c r="I100" s="19" t="s">
        <v>589</v>
      </c>
      <c r="J100" s="19" t="n">
        <v>1</v>
      </c>
      <c r="K100" s="19" t="n">
        <v>9</v>
      </c>
      <c r="L100" s="19" t="s">
        <v>590</v>
      </c>
      <c r="M100" s="19"/>
      <c r="N100" s="19" t="s">
        <v>61</v>
      </c>
    </row>
    <row r="101" customFormat="false" ht="34.5" hidden="false" customHeight="true" outlineLevel="0" collapsed="false">
      <c r="A101" s="19" t="s">
        <v>591</v>
      </c>
      <c r="B101" s="19" t="s">
        <v>32</v>
      </c>
      <c r="C101" s="19" t="s">
        <v>580</v>
      </c>
      <c r="D101" s="19" t="s">
        <v>55</v>
      </c>
      <c r="E101" s="19" t="s">
        <v>592</v>
      </c>
      <c r="F101" s="19"/>
      <c r="G101" s="19" t="s">
        <v>593</v>
      </c>
      <c r="H101" s="19" t="s">
        <v>594</v>
      </c>
      <c r="I101" s="19" t="s">
        <v>595</v>
      </c>
      <c r="J101" s="19" t="n">
        <v>1</v>
      </c>
      <c r="K101" s="19" t="n">
        <v>4</v>
      </c>
      <c r="L101" s="19" t="s">
        <v>596</v>
      </c>
      <c r="M101" s="19"/>
      <c r="N101" s="19" t="s">
        <v>61</v>
      </c>
    </row>
    <row r="102" customFormat="false" ht="45.75" hidden="false" customHeight="true" outlineLevel="0" collapsed="false">
      <c r="A102" s="19" t="s">
        <v>597</v>
      </c>
      <c r="B102" s="19" t="s">
        <v>32</v>
      </c>
      <c r="C102" s="19" t="s">
        <v>580</v>
      </c>
      <c r="D102" s="19" t="s">
        <v>55</v>
      </c>
      <c r="E102" s="19" t="s">
        <v>598</v>
      </c>
      <c r="F102" s="19"/>
      <c r="G102" s="19" t="s">
        <v>599</v>
      </c>
      <c r="H102" s="19" t="s">
        <v>600</v>
      </c>
      <c r="I102" s="19" t="s">
        <v>601</v>
      </c>
      <c r="J102" s="19" t="n">
        <v>3</v>
      </c>
      <c r="K102" s="19" t="n">
        <v>2</v>
      </c>
      <c r="L102" s="19" t="s">
        <v>602</v>
      </c>
      <c r="M102" s="19"/>
      <c r="N102" s="19" t="s">
        <v>61</v>
      </c>
    </row>
    <row r="103" customFormat="false" ht="45.75" hidden="false" customHeight="true" outlineLevel="0" collapsed="false">
      <c r="A103" s="19" t="s">
        <v>603</v>
      </c>
      <c r="B103" s="19" t="s">
        <v>32</v>
      </c>
      <c r="C103" s="19" t="s">
        <v>580</v>
      </c>
      <c r="D103" s="19" t="s">
        <v>55</v>
      </c>
      <c r="E103" s="19" t="s">
        <v>604</v>
      </c>
      <c r="F103" s="19"/>
      <c r="G103" s="19" t="s">
        <v>599</v>
      </c>
      <c r="H103" s="19" t="s">
        <v>605</v>
      </c>
      <c r="I103" s="19" t="s">
        <v>606</v>
      </c>
      <c r="J103" s="19" t="n">
        <v>1</v>
      </c>
      <c r="K103" s="19" t="n">
        <v>4</v>
      </c>
      <c r="L103" s="19" t="s">
        <v>607</v>
      </c>
      <c r="M103" s="19"/>
      <c r="N103" s="19" t="s">
        <v>61</v>
      </c>
    </row>
    <row r="104" customFormat="false" ht="45.75" hidden="false" customHeight="true" outlineLevel="0" collapsed="false">
      <c r="A104" s="19" t="s">
        <v>608</v>
      </c>
      <c r="B104" s="19" t="s">
        <v>32</v>
      </c>
      <c r="C104" s="19" t="s">
        <v>580</v>
      </c>
      <c r="D104" s="19" t="s">
        <v>55</v>
      </c>
      <c r="E104" s="19" t="s">
        <v>609</v>
      </c>
      <c r="F104" s="19" t="s">
        <v>610</v>
      </c>
      <c r="G104" s="19" t="s">
        <v>599</v>
      </c>
      <c r="H104" s="19" t="s">
        <v>611</v>
      </c>
      <c r="I104" s="19" t="s">
        <v>612</v>
      </c>
      <c r="J104" s="19" t="n">
        <v>1</v>
      </c>
      <c r="K104" s="19" t="n">
        <v>3</v>
      </c>
      <c r="L104" s="19" t="s">
        <v>613</v>
      </c>
      <c r="M104" s="19"/>
      <c r="N104" s="19" t="s">
        <v>61</v>
      </c>
    </row>
    <row r="105" customFormat="false" ht="57" hidden="false" customHeight="true" outlineLevel="0" collapsed="false">
      <c r="A105" s="19" t="s">
        <v>614</v>
      </c>
      <c r="B105" s="19" t="s">
        <v>32</v>
      </c>
      <c r="C105" s="19" t="s">
        <v>543</v>
      </c>
      <c r="D105" s="19" t="s">
        <v>55</v>
      </c>
      <c r="E105" s="19" t="s">
        <v>615</v>
      </c>
      <c r="F105" s="19"/>
      <c r="G105" s="19" t="s">
        <v>593</v>
      </c>
      <c r="H105" s="19" t="s">
        <v>616</v>
      </c>
      <c r="I105" s="19" t="s">
        <v>617</v>
      </c>
      <c r="J105" s="19" t="n">
        <v>1</v>
      </c>
      <c r="K105" s="19" t="n">
        <v>6</v>
      </c>
      <c r="L105" s="19" t="s">
        <v>618</v>
      </c>
      <c r="M105" s="19"/>
      <c r="N105" s="19" t="s">
        <v>61</v>
      </c>
    </row>
    <row r="106" customFormat="false" ht="34.5" hidden="false" customHeight="true" outlineLevel="0" collapsed="false">
      <c r="A106" s="19" t="s">
        <v>619</v>
      </c>
      <c r="B106" s="19" t="s">
        <v>32</v>
      </c>
      <c r="C106" s="19" t="s">
        <v>580</v>
      </c>
      <c r="D106" s="19" t="s">
        <v>55</v>
      </c>
      <c r="E106" s="19" t="s">
        <v>620</v>
      </c>
      <c r="F106" s="19" t="s">
        <v>621</v>
      </c>
      <c r="G106" s="19" t="s">
        <v>194</v>
      </c>
      <c r="H106" s="19" t="s">
        <v>622</v>
      </c>
      <c r="I106" s="19" t="s">
        <v>623</v>
      </c>
      <c r="J106" s="19" t="n">
        <v>1</v>
      </c>
      <c r="K106" s="19" t="n">
        <v>7</v>
      </c>
      <c r="L106" s="19" t="s">
        <v>624</v>
      </c>
      <c r="M106" s="19"/>
      <c r="N106" s="19" t="s">
        <v>61</v>
      </c>
    </row>
    <row r="107" customFormat="false" ht="34.5" hidden="false" customHeight="true" outlineLevel="0" collapsed="false">
      <c r="A107" s="19" t="s">
        <v>625</v>
      </c>
      <c r="B107" s="19" t="s">
        <v>32</v>
      </c>
      <c r="C107" s="19" t="s">
        <v>580</v>
      </c>
      <c r="D107" s="19" t="s">
        <v>55</v>
      </c>
      <c r="E107" s="19" t="s">
        <v>626</v>
      </c>
      <c r="F107" s="19"/>
      <c r="G107" s="19" t="s">
        <v>194</v>
      </c>
      <c r="H107" s="19" t="s">
        <v>627</v>
      </c>
      <c r="I107" s="19" t="s">
        <v>628</v>
      </c>
      <c r="J107" s="19" t="n">
        <v>1</v>
      </c>
      <c r="K107" s="19" t="n">
        <v>7</v>
      </c>
      <c r="L107" s="19" t="s">
        <v>629</v>
      </c>
      <c r="M107" s="19"/>
      <c r="N107" s="19" t="s">
        <v>61</v>
      </c>
    </row>
    <row r="108" customFormat="false" ht="34.5" hidden="false" customHeight="true" outlineLevel="0" collapsed="false">
      <c r="A108" s="19" t="s">
        <v>630</v>
      </c>
      <c r="B108" s="19" t="s">
        <v>32</v>
      </c>
      <c r="C108" s="19" t="s">
        <v>580</v>
      </c>
      <c r="D108" s="19" t="s">
        <v>55</v>
      </c>
      <c r="E108" s="19" t="s">
        <v>631</v>
      </c>
      <c r="F108" s="19"/>
      <c r="G108" s="19" t="s">
        <v>194</v>
      </c>
      <c r="H108" s="19" t="s">
        <v>632</v>
      </c>
      <c r="I108" s="19" t="s">
        <v>633</v>
      </c>
      <c r="J108" s="19" t="n">
        <v>1</v>
      </c>
      <c r="K108" s="19" t="n">
        <v>7</v>
      </c>
      <c r="L108" s="19" t="s">
        <v>634</v>
      </c>
      <c r="M108" s="19"/>
      <c r="N108" s="19" t="s">
        <v>61</v>
      </c>
    </row>
    <row r="109" customFormat="false" ht="45.75" hidden="false" customHeight="true" outlineLevel="0" collapsed="false">
      <c r="A109" s="19" t="s">
        <v>635</v>
      </c>
      <c r="B109" s="19" t="s">
        <v>32</v>
      </c>
      <c r="C109" s="19" t="s">
        <v>580</v>
      </c>
      <c r="D109" s="19" t="s">
        <v>55</v>
      </c>
      <c r="E109" s="19" t="s">
        <v>636</v>
      </c>
      <c r="F109" s="19" t="s">
        <v>637</v>
      </c>
      <c r="G109" s="19" t="s">
        <v>638</v>
      </c>
      <c r="H109" s="19" t="s">
        <v>622</v>
      </c>
      <c r="I109" s="19" t="s">
        <v>639</v>
      </c>
      <c r="J109" s="19" t="n">
        <v>1</v>
      </c>
      <c r="K109" s="19" t="n">
        <v>4</v>
      </c>
      <c r="L109" s="19" t="s">
        <v>640</v>
      </c>
      <c r="M109" s="19"/>
      <c r="N109" s="19" t="s">
        <v>61</v>
      </c>
    </row>
    <row r="110" customFormat="false" ht="23.25" hidden="false" customHeight="true" outlineLevel="0" collapsed="false">
      <c r="A110" s="19" t="s">
        <v>641</v>
      </c>
      <c r="B110" s="19" t="s">
        <v>32</v>
      </c>
      <c r="C110" s="19" t="s">
        <v>580</v>
      </c>
      <c r="D110" s="19" t="s">
        <v>55</v>
      </c>
      <c r="E110" s="19" t="s">
        <v>642</v>
      </c>
      <c r="F110" s="19"/>
      <c r="G110" s="19" t="s">
        <v>64</v>
      </c>
      <c r="H110" s="19" t="s">
        <v>643</v>
      </c>
      <c r="I110" s="19" t="s">
        <v>644</v>
      </c>
      <c r="J110" s="19" t="n">
        <v>2</v>
      </c>
      <c r="K110" s="19" t="n">
        <v>2</v>
      </c>
      <c r="L110" s="19" t="s">
        <v>645</v>
      </c>
      <c r="M110" s="19"/>
      <c r="N110" s="19" t="s">
        <v>61</v>
      </c>
    </row>
    <row r="111" customFormat="false" ht="45.75" hidden="false" customHeight="true" outlineLevel="0" collapsed="false">
      <c r="A111" s="19" t="s">
        <v>646</v>
      </c>
      <c r="B111" s="19" t="s">
        <v>32</v>
      </c>
      <c r="C111" s="19" t="s">
        <v>580</v>
      </c>
      <c r="D111" s="19" t="s">
        <v>55</v>
      </c>
      <c r="E111" s="19" t="s">
        <v>647</v>
      </c>
      <c r="F111" s="19"/>
      <c r="G111" s="19" t="s">
        <v>638</v>
      </c>
      <c r="H111" s="19" t="s">
        <v>622</v>
      </c>
      <c r="I111" s="19" t="s">
        <v>648</v>
      </c>
      <c r="J111" s="19" t="n">
        <v>1</v>
      </c>
      <c r="K111" s="19" t="n">
        <v>2</v>
      </c>
      <c r="L111" s="19" t="s">
        <v>649</v>
      </c>
      <c r="M111" s="19"/>
      <c r="N111" s="19" t="s">
        <v>61</v>
      </c>
    </row>
    <row r="112" customFormat="false" ht="57" hidden="false" customHeight="true" outlineLevel="0" collapsed="false">
      <c r="A112" s="19" t="s">
        <v>650</v>
      </c>
      <c r="B112" s="19" t="s">
        <v>32</v>
      </c>
      <c r="C112" s="19" t="s">
        <v>580</v>
      </c>
      <c r="D112" s="19" t="s">
        <v>55</v>
      </c>
      <c r="E112" s="19" t="s">
        <v>651</v>
      </c>
      <c r="F112" s="19"/>
      <c r="G112" s="19" t="s">
        <v>652</v>
      </c>
      <c r="H112" s="19" t="s">
        <v>496</v>
      </c>
      <c r="I112" s="19" t="s">
        <v>653</v>
      </c>
      <c r="J112" s="19" t="n">
        <v>1</v>
      </c>
      <c r="K112" s="19" t="n">
        <v>1</v>
      </c>
      <c r="L112" s="19" t="s">
        <v>654</v>
      </c>
      <c r="M112" s="19"/>
      <c r="N112" s="19" t="s">
        <v>61</v>
      </c>
    </row>
    <row r="113" customFormat="false" ht="34.5" hidden="false" customHeight="true" outlineLevel="0" collapsed="false">
      <c r="A113" s="19" t="s">
        <v>655</v>
      </c>
      <c r="B113" s="19" t="s">
        <v>32</v>
      </c>
      <c r="C113" s="19" t="s">
        <v>580</v>
      </c>
      <c r="D113" s="19" t="s">
        <v>55</v>
      </c>
      <c r="E113" s="19" t="s">
        <v>656</v>
      </c>
      <c r="F113" s="19" t="s">
        <v>657</v>
      </c>
      <c r="G113" s="19" t="s">
        <v>194</v>
      </c>
      <c r="H113" s="19" t="s">
        <v>496</v>
      </c>
      <c r="I113" s="19" t="s">
        <v>658</v>
      </c>
      <c r="J113" s="19" t="n">
        <v>1</v>
      </c>
      <c r="K113" s="19" t="n">
        <v>0</v>
      </c>
      <c r="L113" s="19" t="s">
        <v>659</v>
      </c>
      <c r="M113" s="19"/>
      <c r="N113" s="19" t="s">
        <v>61</v>
      </c>
    </row>
    <row r="114" customFormat="false" ht="45.75" hidden="false" customHeight="true" outlineLevel="0" collapsed="false">
      <c r="A114" s="19" t="s">
        <v>660</v>
      </c>
      <c r="B114" s="19" t="s">
        <v>32</v>
      </c>
      <c r="C114" s="19" t="s">
        <v>543</v>
      </c>
      <c r="D114" s="19" t="s">
        <v>55</v>
      </c>
      <c r="E114" s="19" t="s">
        <v>661</v>
      </c>
      <c r="F114" s="19"/>
      <c r="G114" s="19" t="s">
        <v>593</v>
      </c>
      <c r="H114" s="19" t="s">
        <v>662</v>
      </c>
      <c r="I114" s="19" t="s">
        <v>663</v>
      </c>
      <c r="J114" s="19" t="n">
        <v>1</v>
      </c>
      <c r="K114" s="19" t="n">
        <v>5</v>
      </c>
      <c r="L114" s="19" t="s">
        <v>664</v>
      </c>
      <c r="M114" s="19"/>
      <c r="N114" s="19" t="s">
        <v>61</v>
      </c>
    </row>
    <row r="115" customFormat="false" ht="34.5" hidden="false" customHeight="true" outlineLevel="0" collapsed="false">
      <c r="A115" s="19" t="s">
        <v>665</v>
      </c>
      <c r="B115" s="19" t="s">
        <v>32</v>
      </c>
      <c r="C115" s="19" t="s">
        <v>580</v>
      </c>
      <c r="D115" s="19" t="s">
        <v>55</v>
      </c>
      <c r="E115" s="19" t="s">
        <v>666</v>
      </c>
      <c r="F115" s="19"/>
      <c r="G115" s="19" t="s">
        <v>64</v>
      </c>
      <c r="H115" s="19" t="s">
        <v>667</v>
      </c>
      <c r="I115" s="19" t="s">
        <v>668</v>
      </c>
      <c r="J115" s="19" t="n">
        <v>1</v>
      </c>
      <c r="K115" s="19" t="n">
        <v>10</v>
      </c>
      <c r="L115" s="19" t="s">
        <v>669</v>
      </c>
      <c r="M115" s="19"/>
      <c r="N115" s="19" t="s">
        <v>61</v>
      </c>
    </row>
    <row r="116" customFormat="false" ht="34.5" hidden="false" customHeight="true" outlineLevel="0" collapsed="false">
      <c r="A116" s="19" t="s">
        <v>670</v>
      </c>
      <c r="B116" s="19" t="s">
        <v>32</v>
      </c>
      <c r="C116" s="19" t="s">
        <v>543</v>
      </c>
      <c r="D116" s="19" t="s">
        <v>55</v>
      </c>
      <c r="E116" s="19" t="s">
        <v>671</v>
      </c>
      <c r="F116" s="19" t="s">
        <v>672</v>
      </c>
      <c r="G116" s="19" t="s">
        <v>64</v>
      </c>
      <c r="H116" s="19" t="s">
        <v>673</v>
      </c>
      <c r="I116" s="19" t="s">
        <v>674</v>
      </c>
      <c r="J116" s="19" t="n">
        <v>1</v>
      </c>
      <c r="K116" s="19" t="n">
        <v>2</v>
      </c>
      <c r="L116" s="19" t="s">
        <v>675</v>
      </c>
      <c r="M116" s="19"/>
      <c r="N116" s="19" t="s">
        <v>61</v>
      </c>
    </row>
    <row r="117" customFormat="false" ht="23.25" hidden="false" customHeight="true" outlineLevel="0" collapsed="false">
      <c r="A117" s="19" t="s">
        <v>676</v>
      </c>
      <c r="B117" s="19" t="s">
        <v>32</v>
      </c>
      <c r="C117" s="19" t="s">
        <v>580</v>
      </c>
      <c r="D117" s="19" t="s">
        <v>55</v>
      </c>
      <c r="E117" s="19" t="s">
        <v>677</v>
      </c>
      <c r="F117" s="19"/>
      <c r="G117" s="19" t="s">
        <v>64</v>
      </c>
      <c r="H117" s="19" t="s">
        <v>673</v>
      </c>
      <c r="I117" s="19" t="s">
        <v>678</v>
      </c>
      <c r="J117" s="19" t="n">
        <v>1</v>
      </c>
      <c r="K117" s="19" t="n">
        <v>2</v>
      </c>
      <c r="L117" s="19" t="s">
        <v>679</v>
      </c>
      <c r="M117" s="19"/>
      <c r="N117" s="19" t="s">
        <v>61</v>
      </c>
    </row>
    <row r="118" customFormat="false" ht="23.25" hidden="false" customHeight="true" outlineLevel="0" collapsed="false">
      <c r="A118" s="19" t="s">
        <v>680</v>
      </c>
      <c r="B118" s="19" t="s">
        <v>32</v>
      </c>
      <c r="C118" s="19" t="s">
        <v>580</v>
      </c>
      <c r="D118" s="19" t="s">
        <v>55</v>
      </c>
      <c r="E118" s="19" t="s">
        <v>681</v>
      </c>
      <c r="F118" s="19"/>
      <c r="G118" s="19" t="s">
        <v>64</v>
      </c>
      <c r="H118" s="19" t="s">
        <v>673</v>
      </c>
      <c r="I118" s="19" t="s">
        <v>682</v>
      </c>
      <c r="J118" s="19" t="n">
        <v>1</v>
      </c>
      <c r="K118" s="19" t="n">
        <v>2</v>
      </c>
      <c r="L118" s="19" t="s">
        <v>683</v>
      </c>
      <c r="M118" s="19"/>
      <c r="N118" s="19" t="s">
        <v>61</v>
      </c>
    </row>
    <row r="119" customFormat="false" ht="34.5" hidden="false" customHeight="true" outlineLevel="0" collapsed="false">
      <c r="A119" s="19" t="s">
        <v>684</v>
      </c>
      <c r="B119" s="19" t="s">
        <v>32</v>
      </c>
      <c r="C119" s="19" t="s">
        <v>580</v>
      </c>
      <c r="D119" s="19" t="s">
        <v>55</v>
      </c>
      <c r="E119" s="19" t="s">
        <v>685</v>
      </c>
      <c r="F119" s="19"/>
      <c r="G119" s="19" t="s">
        <v>64</v>
      </c>
      <c r="H119" s="19" t="s">
        <v>686</v>
      </c>
      <c r="I119" s="19" t="s">
        <v>687</v>
      </c>
      <c r="J119" s="19" t="n">
        <v>1</v>
      </c>
      <c r="K119" s="19" t="n">
        <v>5</v>
      </c>
      <c r="L119" s="19" t="s">
        <v>688</v>
      </c>
      <c r="M119" s="19"/>
      <c r="N119" s="19" t="s">
        <v>61</v>
      </c>
    </row>
    <row r="120" customFormat="false" ht="45.75" hidden="false" customHeight="true" outlineLevel="0" collapsed="false">
      <c r="A120" s="19" t="s">
        <v>689</v>
      </c>
      <c r="B120" s="19" t="s">
        <v>32</v>
      </c>
      <c r="C120" s="19" t="s">
        <v>574</v>
      </c>
      <c r="D120" s="19" t="s">
        <v>55</v>
      </c>
      <c r="E120" s="19" t="s">
        <v>690</v>
      </c>
      <c r="F120" s="19"/>
      <c r="G120" s="19" t="s">
        <v>599</v>
      </c>
      <c r="H120" s="19" t="s">
        <v>691</v>
      </c>
      <c r="I120" s="19" t="s">
        <v>692</v>
      </c>
      <c r="J120" s="19" t="n">
        <v>1</v>
      </c>
      <c r="K120" s="19" t="n">
        <v>6</v>
      </c>
      <c r="L120" s="19" t="s">
        <v>693</v>
      </c>
      <c r="M120" s="19"/>
      <c r="N120" s="19" t="s">
        <v>61</v>
      </c>
    </row>
    <row r="121" customFormat="false" ht="68.25" hidden="false" customHeight="true" outlineLevel="0" collapsed="false">
      <c r="A121" s="19" t="s">
        <v>694</v>
      </c>
      <c r="B121" s="19" t="s">
        <v>32</v>
      </c>
      <c r="C121" s="19" t="s">
        <v>574</v>
      </c>
      <c r="D121" s="19" t="s">
        <v>55</v>
      </c>
      <c r="E121" s="19" t="s">
        <v>695</v>
      </c>
      <c r="F121" s="19"/>
      <c r="G121" s="19" t="s">
        <v>599</v>
      </c>
      <c r="H121" s="19" t="s">
        <v>696</v>
      </c>
      <c r="I121" s="19" t="s">
        <v>697</v>
      </c>
      <c r="J121" s="19" t="n">
        <v>1</v>
      </c>
      <c r="K121" s="19" t="n">
        <v>5</v>
      </c>
      <c r="L121" s="19" t="s">
        <v>698</v>
      </c>
      <c r="M121" s="19"/>
      <c r="N121" s="19" t="s">
        <v>61</v>
      </c>
    </row>
    <row r="122" customFormat="false" ht="45.75" hidden="false" customHeight="true" outlineLevel="0" collapsed="false">
      <c r="A122" s="19" t="s">
        <v>699</v>
      </c>
      <c r="B122" s="19" t="s">
        <v>32</v>
      </c>
      <c r="C122" s="19" t="s">
        <v>574</v>
      </c>
      <c r="D122" s="19" t="s">
        <v>55</v>
      </c>
      <c r="E122" s="19" t="s">
        <v>700</v>
      </c>
      <c r="F122" s="19"/>
      <c r="G122" s="19" t="s">
        <v>599</v>
      </c>
      <c r="H122" s="19" t="s">
        <v>701</v>
      </c>
      <c r="I122" s="19" t="s">
        <v>702</v>
      </c>
      <c r="J122" s="19" t="n">
        <v>1</v>
      </c>
      <c r="K122" s="19" t="n">
        <v>2</v>
      </c>
      <c r="L122" s="19" t="s">
        <v>703</v>
      </c>
      <c r="M122" s="19"/>
      <c r="N122" s="19" t="s">
        <v>61</v>
      </c>
    </row>
    <row r="123" customFormat="false" ht="57" hidden="false" customHeight="true" outlineLevel="0" collapsed="false">
      <c r="A123" s="19" t="s">
        <v>704</v>
      </c>
      <c r="B123" s="19" t="s">
        <v>32</v>
      </c>
      <c r="C123" s="19" t="s">
        <v>574</v>
      </c>
      <c r="D123" s="19" t="s">
        <v>55</v>
      </c>
      <c r="E123" s="19" t="s">
        <v>705</v>
      </c>
      <c r="F123" s="19"/>
      <c r="G123" s="19" t="s">
        <v>706</v>
      </c>
      <c r="H123" s="19" t="s">
        <v>496</v>
      </c>
      <c r="I123" s="19" t="s">
        <v>707</v>
      </c>
      <c r="J123" s="19" t="n">
        <v>1</v>
      </c>
      <c r="K123" s="19" t="n">
        <v>2</v>
      </c>
      <c r="L123" s="19" t="s">
        <v>708</v>
      </c>
      <c r="M123" s="19"/>
      <c r="N123" s="19" t="s">
        <v>61</v>
      </c>
    </row>
    <row r="124" customFormat="false" ht="45.75" hidden="false" customHeight="true" outlineLevel="0" collapsed="false">
      <c r="A124" s="19" t="s">
        <v>709</v>
      </c>
      <c r="B124" s="19" t="s">
        <v>32</v>
      </c>
      <c r="C124" s="19" t="s">
        <v>580</v>
      </c>
      <c r="D124" s="19" t="s">
        <v>55</v>
      </c>
      <c r="E124" s="19" t="s">
        <v>710</v>
      </c>
      <c r="F124" s="19"/>
      <c r="G124" s="19" t="s">
        <v>599</v>
      </c>
      <c r="H124" s="19" t="s">
        <v>711</v>
      </c>
      <c r="I124" s="19" t="s">
        <v>712</v>
      </c>
      <c r="J124" s="19" t="n">
        <v>1</v>
      </c>
      <c r="K124" s="19" t="n">
        <v>5</v>
      </c>
      <c r="L124" s="19" t="s">
        <v>713</v>
      </c>
      <c r="M124" s="19"/>
      <c r="N124" s="19" t="s">
        <v>61</v>
      </c>
    </row>
    <row r="125" customFormat="false" ht="23.25" hidden="false" customHeight="true" outlineLevel="0" collapsed="false">
      <c r="A125" s="19" t="s">
        <v>714</v>
      </c>
      <c r="B125" s="19" t="s">
        <v>32</v>
      </c>
      <c r="C125" s="19" t="s">
        <v>580</v>
      </c>
      <c r="D125" s="19" t="s">
        <v>55</v>
      </c>
      <c r="E125" s="19" t="s">
        <v>715</v>
      </c>
      <c r="F125" s="19"/>
      <c r="G125" s="19" t="s">
        <v>64</v>
      </c>
      <c r="H125" s="19" t="s">
        <v>716</v>
      </c>
      <c r="I125" s="19" t="s">
        <v>717</v>
      </c>
      <c r="J125" s="19" t="n">
        <v>1</v>
      </c>
      <c r="K125" s="19" t="n">
        <v>4</v>
      </c>
      <c r="L125" s="19" t="s">
        <v>718</v>
      </c>
      <c r="M125" s="19"/>
      <c r="N125" s="19" t="s">
        <v>61</v>
      </c>
    </row>
    <row r="126" customFormat="false" ht="34.5" hidden="false" customHeight="true" outlineLevel="0" collapsed="false">
      <c r="A126" s="19" t="s">
        <v>719</v>
      </c>
      <c r="B126" s="19" t="s">
        <v>32</v>
      </c>
      <c r="C126" s="19" t="s">
        <v>580</v>
      </c>
      <c r="D126" s="19" t="s">
        <v>55</v>
      </c>
      <c r="E126" s="19" t="s">
        <v>720</v>
      </c>
      <c r="F126" s="19"/>
      <c r="G126" s="19" t="s">
        <v>64</v>
      </c>
      <c r="H126" s="19" t="s">
        <v>721</v>
      </c>
      <c r="I126" s="19" t="s">
        <v>722</v>
      </c>
      <c r="J126" s="19" t="n">
        <v>1</v>
      </c>
      <c r="K126" s="19" t="n">
        <v>5</v>
      </c>
      <c r="L126" s="19" t="s">
        <v>723</v>
      </c>
      <c r="M126" s="19"/>
      <c r="N126" s="19" t="s">
        <v>61</v>
      </c>
    </row>
    <row r="127" customFormat="false" ht="23.25" hidden="false" customHeight="true" outlineLevel="0" collapsed="false">
      <c r="A127" s="19" t="s">
        <v>724</v>
      </c>
      <c r="B127" s="19" t="s">
        <v>32</v>
      </c>
      <c r="C127" s="19" t="s">
        <v>580</v>
      </c>
      <c r="D127" s="19" t="s">
        <v>55</v>
      </c>
      <c r="E127" s="19" t="s">
        <v>725</v>
      </c>
      <c r="F127" s="19"/>
      <c r="G127" s="19" t="s">
        <v>64</v>
      </c>
      <c r="H127" s="19" t="s">
        <v>726</v>
      </c>
      <c r="I127" s="19" t="s">
        <v>727</v>
      </c>
      <c r="J127" s="19" t="n">
        <v>1</v>
      </c>
      <c r="K127" s="19" t="n">
        <v>6</v>
      </c>
      <c r="L127" s="19" t="s">
        <v>728</v>
      </c>
      <c r="M127" s="19"/>
      <c r="N127" s="19" t="s">
        <v>61</v>
      </c>
    </row>
    <row r="128" customFormat="false" ht="57" hidden="false" customHeight="true" outlineLevel="0" collapsed="false">
      <c r="A128" s="19" t="s">
        <v>729</v>
      </c>
      <c r="B128" s="19" t="s">
        <v>32</v>
      </c>
      <c r="C128" s="19" t="s">
        <v>580</v>
      </c>
      <c r="D128" s="19" t="s">
        <v>55</v>
      </c>
      <c r="E128" s="19" t="s">
        <v>730</v>
      </c>
      <c r="F128" s="19"/>
      <c r="G128" s="19" t="s">
        <v>731</v>
      </c>
      <c r="H128" s="19" t="s">
        <v>732</v>
      </c>
      <c r="I128" s="19" t="s">
        <v>733</v>
      </c>
      <c r="J128" s="19" t="n">
        <v>1</v>
      </c>
      <c r="K128" s="19" t="n">
        <v>7</v>
      </c>
      <c r="L128" s="19" t="s">
        <v>734</v>
      </c>
      <c r="M128" s="19"/>
      <c r="N128" s="19" t="s">
        <v>61</v>
      </c>
    </row>
    <row r="129" customFormat="false" ht="45.75" hidden="false" customHeight="true" outlineLevel="0" collapsed="false">
      <c r="A129" s="19" t="s">
        <v>735</v>
      </c>
      <c r="B129" s="19" t="s">
        <v>33</v>
      </c>
      <c r="C129" s="19" t="s">
        <v>736</v>
      </c>
      <c r="D129" s="19" t="s">
        <v>55</v>
      </c>
      <c r="E129" s="19" t="s">
        <v>737</v>
      </c>
      <c r="F129" s="19"/>
      <c r="G129" s="19" t="s">
        <v>599</v>
      </c>
      <c r="H129" s="19" t="s">
        <v>738</v>
      </c>
      <c r="I129" s="19" t="s">
        <v>739</v>
      </c>
      <c r="J129" s="19" t="n">
        <v>1</v>
      </c>
      <c r="K129" s="19" t="n">
        <v>11</v>
      </c>
      <c r="L129" s="19" t="s">
        <v>740</v>
      </c>
      <c r="M129" s="19"/>
      <c r="N129" s="19" t="s">
        <v>61</v>
      </c>
    </row>
    <row r="130" customFormat="false" ht="45.75" hidden="false" customHeight="true" outlineLevel="0" collapsed="false">
      <c r="A130" s="19" t="s">
        <v>741</v>
      </c>
      <c r="B130" s="19" t="s">
        <v>33</v>
      </c>
      <c r="C130" s="19" t="s">
        <v>736</v>
      </c>
      <c r="D130" s="19" t="s">
        <v>55</v>
      </c>
      <c r="E130" s="19" t="s">
        <v>742</v>
      </c>
      <c r="F130" s="19"/>
      <c r="G130" s="19" t="s">
        <v>599</v>
      </c>
      <c r="H130" s="19" t="s">
        <v>743</v>
      </c>
      <c r="I130" s="19" t="s">
        <v>744</v>
      </c>
      <c r="J130" s="19" t="n">
        <v>1</v>
      </c>
      <c r="K130" s="19" t="n">
        <v>5</v>
      </c>
      <c r="L130" s="19" t="s">
        <v>745</v>
      </c>
      <c r="M130" s="19"/>
      <c r="N130" s="19" t="s">
        <v>61</v>
      </c>
    </row>
    <row r="131" customFormat="false" ht="34.5" hidden="false" customHeight="true" outlineLevel="0" collapsed="false">
      <c r="A131" s="19" t="s">
        <v>746</v>
      </c>
      <c r="B131" s="19" t="s">
        <v>33</v>
      </c>
      <c r="C131" s="19" t="s">
        <v>736</v>
      </c>
      <c r="D131" s="19" t="s">
        <v>55</v>
      </c>
      <c r="E131" s="19" t="s">
        <v>747</v>
      </c>
      <c r="F131" s="19" t="s">
        <v>748</v>
      </c>
      <c r="G131" s="19" t="s">
        <v>194</v>
      </c>
      <c r="H131" s="19" t="s">
        <v>749</v>
      </c>
      <c r="I131" s="19" t="s">
        <v>750</v>
      </c>
      <c r="J131" s="19" t="n">
        <v>1</v>
      </c>
      <c r="K131" s="19" t="n">
        <v>3</v>
      </c>
      <c r="L131" s="19" t="s">
        <v>751</v>
      </c>
      <c r="M131" s="19"/>
      <c r="N131" s="19" t="s">
        <v>61</v>
      </c>
    </row>
    <row r="132" customFormat="false" ht="23.25" hidden="false" customHeight="true" outlineLevel="0" collapsed="false">
      <c r="A132" s="19" t="s">
        <v>752</v>
      </c>
      <c r="B132" s="19" t="s">
        <v>33</v>
      </c>
      <c r="C132" s="19" t="s">
        <v>736</v>
      </c>
      <c r="D132" s="19" t="s">
        <v>55</v>
      </c>
      <c r="E132" s="19" t="s">
        <v>753</v>
      </c>
      <c r="F132" s="19"/>
      <c r="G132" s="19" t="s">
        <v>64</v>
      </c>
      <c r="H132" s="19" t="s">
        <v>749</v>
      </c>
      <c r="I132" s="19" t="s">
        <v>754</v>
      </c>
      <c r="J132" s="19" t="n">
        <v>2</v>
      </c>
      <c r="K132" s="19" t="n">
        <v>2</v>
      </c>
      <c r="L132" s="19" t="s">
        <v>755</v>
      </c>
      <c r="M132" s="19"/>
      <c r="N132" s="19" t="s">
        <v>61</v>
      </c>
    </row>
    <row r="133" customFormat="false" ht="34.5" hidden="false" customHeight="true" outlineLevel="0" collapsed="false">
      <c r="A133" s="19" t="s">
        <v>756</v>
      </c>
      <c r="B133" s="19" t="s">
        <v>33</v>
      </c>
      <c r="C133" s="19" t="s">
        <v>736</v>
      </c>
      <c r="D133" s="19" t="s">
        <v>55</v>
      </c>
      <c r="E133" s="19" t="s">
        <v>757</v>
      </c>
      <c r="F133" s="19"/>
      <c r="G133" s="19" t="s">
        <v>64</v>
      </c>
      <c r="H133" s="19" t="s">
        <v>758</v>
      </c>
      <c r="I133" s="19" t="s">
        <v>759</v>
      </c>
      <c r="J133" s="19" t="n">
        <v>1</v>
      </c>
      <c r="K133" s="19" t="n">
        <v>1</v>
      </c>
      <c r="L133" s="19" t="s">
        <v>760</v>
      </c>
      <c r="M133" s="19"/>
      <c r="N133" s="19" t="s">
        <v>61</v>
      </c>
    </row>
    <row r="134" customFormat="false" ht="34.5" hidden="false" customHeight="true" outlineLevel="0" collapsed="false">
      <c r="A134" s="19" t="s">
        <v>761</v>
      </c>
      <c r="B134" s="19" t="s">
        <v>33</v>
      </c>
      <c r="C134" s="19" t="s">
        <v>736</v>
      </c>
      <c r="D134" s="19" t="s">
        <v>55</v>
      </c>
      <c r="E134" s="19" t="s">
        <v>762</v>
      </c>
      <c r="F134" s="19" t="s">
        <v>763</v>
      </c>
      <c r="G134" s="19" t="s">
        <v>194</v>
      </c>
      <c r="H134" s="19" t="s">
        <v>496</v>
      </c>
      <c r="I134" s="19" t="s">
        <v>764</v>
      </c>
      <c r="J134" s="19" t="n">
        <v>1</v>
      </c>
      <c r="K134" s="19" t="n">
        <v>2</v>
      </c>
      <c r="L134" s="19" t="s">
        <v>765</v>
      </c>
      <c r="M134" s="19"/>
      <c r="N134" s="19" t="s">
        <v>61</v>
      </c>
    </row>
    <row r="135" customFormat="false" ht="45.75" hidden="false" customHeight="true" outlineLevel="0" collapsed="false">
      <c r="A135" s="19" t="s">
        <v>766</v>
      </c>
      <c r="B135" s="19" t="s">
        <v>33</v>
      </c>
      <c r="C135" s="19" t="s">
        <v>736</v>
      </c>
      <c r="D135" s="19" t="s">
        <v>55</v>
      </c>
      <c r="E135" s="19" t="s">
        <v>767</v>
      </c>
      <c r="F135" s="19"/>
      <c r="G135" s="19" t="s">
        <v>64</v>
      </c>
      <c r="H135" s="19" t="s">
        <v>768</v>
      </c>
      <c r="I135" s="19" t="s">
        <v>769</v>
      </c>
      <c r="J135" s="19" t="n">
        <v>1</v>
      </c>
      <c r="K135" s="19" t="n">
        <v>16</v>
      </c>
      <c r="L135" s="19" t="s">
        <v>770</v>
      </c>
      <c r="M135" s="19"/>
      <c r="N135" s="19" t="s">
        <v>61</v>
      </c>
    </row>
    <row r="136" customFormat="false" ht="34.5" hidden="false" customHeight="true" outlineLevel="0" collapsed="false">
      <c r="A136" s="19" t="s">
        <v>771</v>
      </c>
      <c r="B136" s="19" t="s">
        <v>33</v>
      </c>
      <c r="C136" s="19" t="s">
        <v>736</v>
      </c>
      <c r="D136" s="19" t="s">
        <v>55</v>
      </c>
      <c r="E136" s="19" t="s">
        <v>772</v>
      </c>
      <c r="F136" s="19"/>
      <c r="G136" s="19" t="s">
        <v>773</v>
      </c>
      <c r="H136" s="19" t="s">
        <v>774</v>
      </c>
      <c r="I136" s="19" t="s">
        <v>775</v>
      </c>
      <c r="J136" s="19" t="n">
        <v>5</v>
      </c>
      <c r="K136" s="19" t="n">
        <v>1</v>
      </c>
      <c r="L136" s="19" t="s">
        <v>776</v>
      </c>
      <c r="M136" s="19"/>
      <c r="N136" s="19" t="s">
        <v>61</v>
      </c>
    </row>
    <row r="137" customFormat="false" ht="34.5" hidden="false" customHeight="true" outlineLevel="0" collapsed="false">
      <c r="A137" s="19" t="s">
        <v>777</v>
      </c>
      <c r="B137" s="19" t="s">
        <v>33</v>
      </c>
      <c r="C137" s="19" t="s">
        <v>736</v>
      </c>
      <c r="D137" s="19" t="s">
        <v>55</v>
      </c>
      <c r="E137" s="19" t="s">
        <v>778</v>
      </c>
      <c r="F137" s="19"/>
      <c r="G137" s="19" t="s">
        <v>773</v>
      </c>
      <c r="H137" s="19" t="s">
        <v>774</v>
      </c>
      <c r="I137" s="19" t="s">
        <v>779</v>
      </c>
      <c r="J137" s="19" t="n">
        <v>7</v>
      </c>
      <c r="K137" s="19" t="n">
        <v>2</v>
      </c>
      <c r="L137" s="19" t="s">
        <v>780</v>
      </c>
      <c r="M137" s="19"/>
      <c r="N137" s="19" t="s">
        <v>61</v>
      </c>
    </row>
    <row r="138" customFormat="false" ht="23.25" hidden="false" customHeight="true" outlineLevel="0" collapsed="false">
      <c r="A138" s="19" t="s">
        <v>781</v>
      </c>
      <c r="B138" s="19" t="s">
        <v>33</v>
      </c>
      <c r="C138" s="19" t="s">
        <v>736</v>
      </c>
      <c r="D138" s="19" t="s">
        <v>55</v>
      </c>
      <c r="E138" s="19" t="s">
        <v>782</v>
      </c>
      <c r="F138" s="19"/>
      <c r="G138" s="19" t="s">
        <v>64</v>
      </c>
      <c r="H138" s="19" t="s">
        <v>783</v>
      </c>
      <c r="I138" s="19" t="s">
        <v>784</v>
      </c>
      <c r="J138" s="19" t="n">
        <v>1</v>
      </c>
      <c r="K138" s="19" t="n">
        <v>1</v>
      </c>
      <c r="L138" s="19" t="s">
        <v>785</v>
      </c>
      <c r="M138" s="19"/>
      <c r="N138" s="19" t="s">
        <v>61</v>
      </c>
    </row>
    <row r="139" customFormat="false" ht="45.75" hidden="false" customHeight="true" outlineLevel="0" collapsed="false">
      <c r="A139" s="19" t="s">
        <v>786</v>
      </c>
      <c r="B139" s="19" t="s">
        <v>33</v>
      </c>
      <c r="C139" s="19" t="s">
        <v>736</v>
      </c>
      <c r="D139" s="19" t="s">
        <v>55</v>
      </c>
      <c r="E139" s="19" t="s">
        <v>787</v>
      </c>
      <c r="F139" s="19"/>
      <c r="G139" s="19" t="s">
        <v>599</v>
      </c>
      <c r="H139" s="19" t="s">
        <v>788</v>
      </c>
      <c r="I139" s="19" t="s">
        <v>789</v>
      </c>
      <c r="J139" s="19" t="n">
        <v>1</v>
      </c>
      <c r="K139" s="19" t="n">
        <v>6</v>
      </c>
      <c r="L139" s="19" t="s">
        <v>790</v>
      </c>
      <c r="M139" s="19"/>
      <c r="N139" s="19" t="s">
        <v>61</v>
      </c>
    </row>
    <row r="140" customFormat="false" ht="45.75" hidden="false" customHeight="true" outlineLevel="0" collapsed="false">
      <c r="A140" s="19" t="s">
        <v>791</v>
      </c>
      <c r="B140" s="19" t="s">
        <v>33</v>
      </c>
      <c r="C140" s="19" t="s">
        <v>736</v>
      </c>
      <c r="D140" s="19" t="s">
        <v>55</v>
      </c>
      <c r="E140" s="19" t="s">
        <v>792</v>
      </c>
      <c r="F140" s="19"/>
      <c r="G140" s="19" t="s">
        <v>599</v>
      </c>
      <c r="H140" s="19" t="s">
        <v>788</v>
      </c>
      <c r="I140" s="19" t="s">
        <v>793</v>
      </c>
      <c r="J140" s="19" t="n">
        <v>1</v>
      </c>
      <c r="K140" s="19" t="n">
        <v>3</v>
      </c>
      <c r="L140" s="19" t="s">
        <v>794</v>
      </c>
      <c r="M140" s="19"/>
      <c r="N140" s="19" t="s">
        <v>61</v>
      </c>
    </row>
    <row r="141" customFormat="false" ht="34.5" hidden="false" customHeight="true" outlineLevel="0" collapsed="false">
      <c r="A141" s="19" t="s">
        <v>795</v>
      </c>
      <c r="B141" s="19" t="s">
        <v>33</v>
      </c>
      <c r="C141" s="19" t="s">
        <v>736</v>
      </c>
      <c r="D141" s="19" t="s">
        <v>55</v>
      </c>
      <c r="E141" s="19" t="s">
        <v>796</v>
      </c>
      <c r="F141" s="19"/>
      <c r="G141" s="19" t="s">
        <v>194</v>
      </c>
      <c r="H141" s="19" t="s">
        <v>788</v>
      </c>
      <c r="I141" s="19" t="s">
        <v>797</v>
      </c>
      <c r="J141" s="19" t="n">
        <v>1</v>
      </c>
      <c r="K141" s="19" t="n">
        <v>2</v>
      </c>
      <c r="L141" s="19" t="s">
        <v>798</v>
      </c>
      <c r="M141" s="19"/>
      <c r="N141" s="19" t="s">
        <v>61</v>
      </c>
    </row>
    <row r="142" customFormat="false" ht="45.75" hidden="false" customHeight="true" outlineLevel="0" collapsed="false">
      <c r="A142" s="19" t="s">
        <v>799</v>
      </c>
      <c r="B142" s="19" t="s">
        <v>33</v>
      </c>
      <c r="C142" s="19" t="s">
        <v>736</v>
      </c>
      <c r="D142" s="19" t="s">
        <v>55</v>
      </c>
      <c r="E142" s="19" t="s">
        <v>800</v>
      </c>
      <c r="F142" s="19"/>
      <c r="G142" s="19" t="s">
        <v>599</v>
      </c>
      <c r="H142" s="19" t="s">
        <v>788</v>
      </c>
      <c r="I142" s="19" t="s">
        <v>801</v>
      </c>
      <c r="J142" s="19" t="n">
        <v>1</v>
      </c>
      <c r="K142" s="19" t="n">
        <v>2</v>
      </c>
      <c r="L142" s="19" t="s">
        <v>802</v>
      </c>
      <c r="M142" s="19"/>
      <c r="N142" s="19" t="s">
        <v>61</v>
      </c>
    </row>
    <row r="143" customFormat="false" ht="23.25" hidden="false" customHeight="true" outlineLevel="0" collapsed="false">
      <c r="A143" s="19" t="s">
        <v>803</v>
      </c>
      <c r="B143" s="19" t="s">
        <v>33</v>
      </c>
      <c r="C143" s="19" t="s">
        <v>736</v>
      </c>
      <c r="D143" s="19" t="s">
        <v>55</v>
      </c>
      <c r="E143" s="19" t="s">
        <v>804</v>
      </c>
      <c r="F143" s="19"/>
      <c r="G143" s="19" t="s">
        <v>64</v>
      </c>
      <c r="H143" s="19" t="s">
        <v>788</v>
      </c>
      <c r="I143" s="19" t="s">
        <v>805</v>
      </c>
      <c r="J143" s="19" t="n">
        <v>2</v>
      </c>
      <c r="K143" s="19" t="n">
        <v>2</v>
      </c>
      <c r="L143" s="19" t="s">
        <v>806</v>
      </c>
      <c r="M143" s="19"/>
      <c r="N143" s="19" t="s">
        <v>61</v>
      </c>
    </row>
    <row r="144" customFormat="false" ht="45.75" hidden="false" customHeight="true" outlineLevel="0" collapsed="false">
      <c r="A144" s="19" t="s">
        <v>807</v>
      </c>
      <c r="B144" s="19" t="s">
        <v>33</v>
      </c>
      <c r="C144" s="19" t="s">
        <v>736</v>
      </c>
      <c r="D144" s="19" t="s">
        <v>55</v>
      </c>
      <c r="E144" s="19" t="s">
        <v>808</v>
      </c>
      <c r="F144" s="19" t="s">
        <v>809</v>
      </c>
      <c r="G144" s="19" t="s">
        <v>599</v>
      </c>
      <c r="H144" s="19" t="s">
        <v>810</v>
      </c>
      <c r="I144" s="19" t="s">
        <v>811</v>
      </c>
      <c r="J144" s="19" t="n">
        <v>1</v>
      </c>
      <c r="K144" s="19" t="n">
        <v>5</v>
      </c>
      <c r="L144" s="19" t="s">
        <v>812</v>
      </c>
      <c r="M144" s="19"/>
      <c r="N144" s="19" t="s">
        <v>61</v>
      </c>
    </row>
    <row r="145" customFormat="false" ht="45.75" hidden="false" customHeight="true" outlineLevel="0" collapsed="false">
      <c r="A145" s="19" t="s">
        <v>813</v>
      </c>
      <c r="B145" s="19" t="s">
        <v>33</v>
      </c>
      <c r="C145" s="19" t="s">
        <v>736</v>
      </c>
      <c r="D145" s="19" t="s">
        <v>55</v>
      </c>
      <c r="E145" s="19" t="s">
        <v>814</v>
      </c>
      <c r="F145" s="19"/>
      <c r="G145" s="19" t="s">
        <v>599</v>
      </c>
      <c r="H145" s="19" t="s">
        <v>815</v>
      </c>
      <c r="I145" s="19" t="s">
        <v>816</v>
      </c>
      <c r="J145" s="19" t="n">
        <v>1</v>
      </c>
      <c r="K145" s="19" t="n">
        <v>2</v>
      </c>
      <c r="L145" s="19" t="s">
        <v>817</v>
      </c>
      <c r="M145" s="19"/>
      <c r="N145" s="19" t="s">
        <v>61</v>
      </c>
    </row>
    <row r="146" customFormat="false" ht="45.75" hidden="false" customHeight="true" outlineLevel="0" collapsed="false">
      <c r="A146" s="19" t="s">
        <v>818</v>
      </c>
      <c r="B146" s="19" t="s">
        <v>33</v>
      </c>
      <c r="C146" s="19" t="s">
        <v>736</v>
      </c>
      <c r="D146" s="19" t="s">
        <v>55</v>
      </c>
      <c r="E146" s="19" t="s">
        <v>819</v>
      </c>
      <c r="F146" s="19"/>
      <c r="G146" s="19" t="s">
        <v>599</v>
      </c>
      <c r="H146" s="19" t="s">
        <v>788</v>
      </c>
      <c r="I146" s="19" t="s">
        <v>820</v>
      </c>
      <c r="J146" s="19" t="n">
        <v>1</v>
      </c>
      <c r="K146" s="19" t="n">
        <v>2</v>
      </c>
      <c r="L146" s="19" t="s">
        <v>821</v>
      </c>
      <c r="M146" s="19"/>
      <c r="N146" s="19" t="s">
        <v>61</v>
      </c>
    </row>
    <row r="147" customFormat="false" ht="34.5" hidden="false" customHeight="true" outlineLevel="0" collapsed="false">
      <c r="A147" s="19" t="s">
        <v>822</v>
      </c>
      <c r="B147" s="19" t="s">
        <v>34</v>
      </c>
      <c r="C147" s="19" t="s">
        <v>823</v>
      </c>
      <c r="D147" s="19" t="s">
        <v>55</v>
      </c>
      <c r="E147" s="19" t="s">
        <v>824</v>
      </c>
      <c r="F147" s="19"/>
      <c r="G147" s="19" t="s">
        <v>194</v>
      </c>
      <c r="H147" s="19" t="s">
        <v>825</v>
      </c>
      <c r="I147" s="19" t="s">
        <v>826</v>
      </c>
      <c r="J147" s="19" t="n">
        <v>1</v>
      </c>
      <c r="K147" s="19" t="n">
        <v>8</v>
      </c>
      <c r="L147" s="19" t="s">
        <v>827</v>
      </c>
      <c r="M147" s="19"/>
      <c r="N147" s="19" t="s">
        <v>61</v>
      </c>
    </row>
    <row r="148" customFormat="false" ht="34.5" hidden="false" customHeight="true" outlineLevel="0" collapsed="false">
      <c r="A148" s="19" t="s">
        <v>828</v>
      </c>
      <c r="B148" s="19" t="s">
        <v>34</v>
      </c>
      <c r="C148" s="19" t="s">
        <v>823</v>
      </c>
      <c r="D148" s="19" t="s">
        <v>55</v>
      </c>
      <c r="E148" s="19" t="s">
        <v>829</v>
      </c>
      <c r="F148" s="19"/>
      <c r="G148" s="19" t="s">
        <v>194</v>
      </c>
      <c r="H148" s="19" t="s">
        <v>830</v>
      </c>
      <c r="I148" s="19" t="s">
        <v>831</v>
      </c>
      <c r="J148" s="19" t="n">
        <v>1</v>
      </c>
      <c r="K148" s="19" t="n">
        <v>5</v>
      </c>
      <c r="L148" s="19" t="s">
        <v>832</v>
      </c>
      <c r="M148" s="19"/>
      <c r="N148" s="19" t="s">
        <v>61</v>
      </c>
    </row>
    <row r="149" customFormat="false" ht="34.5" hidden="false" customHeight="true" outlineLevel="0" collapsed="false">
      <c r="A149" s="19" t="s">
        <v>833</v>
      </c>
      <c r="B149" s="19" t="s">
        <v>34</v>
      </c>
      <c r="C149" s="19" t="s">
        <v>823</v>
      </c>
      <c r="D149" s="19" t="s">
        <v>55</v>
      </c>
      <c r="E149" s="19" t="s">
        <v>834</v>
      </c>
      <c r="F149" s="19" t="s">
        <v>835</v>
      </c>
      <c r="G149" s="19" t="s">
        <v>194</v>
      </c>
      <c r="H149" s="19" t="s">
        <v>836</v>
      </c>
      <c r="I149" s="19" t="s">
        <v>837</v>
      </c>
      <c r="J149" s="19" t="n">
        <v>1</v>
      </c>
      <c r="K149" s="19" t="n">
        <v>3</v>
      </c>
      <c r="L149" s="19" t="s">
        <v>838</v>
      </c>
      <c r="M149" s="19"/>
      <c r="N149" s="19" t="s">
        <v>61</v>
      </c>
    </row>
    <row r="150" customFormat="false" ht="57" hidden="false" customHeight="true" outlineLevel="0" collapsed="false">
      <c r="A150" s="19" t="s">
        <v>839</v>
      </c>
      <c r="B150" s="19" t="s">
        <v>34</v>
      </c>
      <c r="C150" s="19" t="s">
        <v>823</v>
      </c>
      <c r="D150" s="19" t="s">
        <v>55</v>
      </c>
      <c r="E150" s="19" t="s">
        <v>840</v>
      </c>
      <c r="F150" s="19"/>
      <c r="G150" s="19" t="s">
        <v>841</v>
      </c>
      <c r="H150" s="19" t="s">
        <v>842</v>
      </c>
      <c r="I150" s="19" t="s">
        <v>843</v>
      </c>
      <c r="J150" s="19" t="n">
        <v>1</v>
      </c>
      <c r="K150" s="19" t="n">
        <v>2</v>
      </c>
      <c r="L150" s="19" t="s">
        <v>844</v>
      </c>
      <c r="M150" s="19"/>
      <c r="N150" s="19" t="s">
        <v>61</v>
      </c>
    </row>
    <row r="151" customFormat="false" ht="34.5" hidden="false" customHeight="true" outlineLevel="0" collapsed="false">
      <c r="A151" s="19" t="s">
        <v>845</v>
      </c>
      <c r="B151" s="19" t="s">
        <v>34</v>
      </c>
      <c r="C151" s="19" t="s">
        <v>823</v>
      </c>
      <c r="D151" s="19" t="s">
        <v>55</v>
      </c>
      <c r="E151" s="19" t="s">
        <v>846</v>
      </c>
      <c r="F151" s="19"/>
      <c r="G151" s="19" t="s">
        <v>194</v>
      </c>
      <c r="H151" s="19" t="s">
        <v>836</v>
      </c>
      <c r="I151" s="19" t="s">
        <v>847</v>
      </c>
      <c r="J151" s="19" t="n">
        <v>1</v>
      </c>
      <c r="K151" s="19" t="n">
        <v>2</v>
      </c>
      <c r="L151" s="19" t="s">
        <v>848</v>
      </c>
      <c r="M151" s="19"/>
      <c r="N151" s="19" t="s">
        <v>61</v>
      </c>
    </row>
    <row r="152" customFormat="false" ht="34.5" hidden="false" customHeight="true" outlineLevel="0" collapsed="false">
      <c r="A152" s="19" t="s">
        <v>849</v>
      </c>
      <c r="B152" s="19" t="s">
        <v>34</v>
      </c>
      <c r="C152" s="19" t="s">
        <v>823</v>
      </c>
      <c r="D152" s="19" t="s">
        <v>55</v>
      </c>
      <c r="E152" s="19" t="s">
        <v>850</v>
      </c>
      <c r="F152" s="19"/>
      <c r="G152" s="19" t="s">
        <v>194</v>
      </c>
      <c r="H152" s="19" t="s">
        <v>836</v>
      </c>
      <c r="I152" s="19" t="s">
        <v>851</v>
      </c>
      <c r="J152" s="19" t="n">
        <v>1</v>
      </c>
      <c r="K152" s="19" t="n">
        <v>3</v>
      </c>
      <c r="L152" s="19" t="s">
        <v>852</v>
      </c>
      <c r="M152" s="19"/>
      <c r="N152" s="19" t="s">
        <v>61</v>
      </c>
    </row>
    <row r="153" customFormat="false" ht="34.5" hidden="false" customHeight="true" outlineLevel="0" collapsed="false">
      <c r="A153" s="19" t="s">
        <v>853</v>
      </c>
      <c r="B153" s="19" t="s">
        <v>34</v>
      </c>
      <c r="C153" s="19" t="s">
        <v>823</v>
      </c>
      <c r="D153" s="19" t="s">
        <v>55</v>
      </c>
      <c r="E153" s="19" t="s">
        <v>854</v>
      </c>
      <c r="F153" s="19" t="s">
        <v>855</v>
      </c>
      <c r="G153" s="19" t="s">
        <v>194</v>
      </c>
      <c r="H153" s="19" t="s">
        <v>856</v>
      </c>
      <c r="I153" s="19" t="s">
        <v>857</v>
      </c>
      <c r="J153" s="19" t="n">
        <v>1</v>
      </c>
      <c r="K153" s="19" t="n">
        <v>3</v>
      </c>
      <c r="L153" s="19" t="s">
        <v>858</v>
      </c>
      <c r="M153" s="19"/>
      <c r="N153" s="19" t="s">
        <v>61</v>
      </c>
    </row>
    <row r="154" customFormat="false" ht="34.5" hidden="false" customHeight="true" outlineLevel="0" collapsed="false">
      <c r="A154" s="19" t="s">
        <v>859</v>
      </c>
      <c r="B154" s="19" t="s">
        <v>34</v>
      </c>
      <c r="C154" s="19" t="s">
        <v>823</v>
      </c>
      <c r="D154" s="19" t="s">
        <v>55</v>
      </c>
      <c r="E154" s="19" t="s">
        <v>860</v>
      </c>
      <c r="F154" s="19"/>
      <c r="G154" s="19" t="s">
        <v>194</v>
      </c>
      <c r="H154" s="19" t="s">
        <v>861</v>
      </c>
      <c r="I154" s="19" t="s">
        <v>862</v>
      </c>
      <c r="J154" s="19" t="n">
        <v>1</v>
      </c>
      <c r="K154" s="19" t="n">
        <v>2</v>
      </c>
      <c r="L154" s="19" t="s">
        <v>863</v>
      </c>
      <c r="M154" s="19"/>
      <c r="N154" s="19" t="s">
        <v>61</v>
      </c>
    </row>
    <row r="155" customFormat="false" ht="34.5" hidden="false" customHeight="true" outlineLevel="0" collapsed="false">
      <c r="A155" s="19" t="s">
        <v>864</v>
      </c>
      <c r="B155" s="19" t="s">
        <v>34</v>
      </c>
      <c r="C155" s="19" t="s">
        <v>823</v>
      </c>
      <c r="D155" s="19" t="s">
        <v>55</v>
      </c>
      <c r="E155" s="19" t="s">
        <v>865</v>
      </c>
      <c r="F155" s="19" t="s">
        <v>866</v>
      </c>
      <c r="G155" s="19" t="s">
        <v>194</v>
      </c>
      <c r="H155" s="19" t="s">
        <v>867</v>
      </c>
      <c r="I155" s="19" t="s">
        <v>868</v>
      </c>
      <c r="J155" s="19" t="n">
        <v>1</v>
      </c>
      <c r="K155" s="19" t="n">
        <v>6</v>
      </c>
      <c r="L155" s="19" t="s">
        <v>869</v>
      </c>
      <c r="M155" s="19"/>
      <c r="N155" s="19" t="s">
        <v>61</v>
      </c>
    </row>
    <row r="156" customFormat="false" ht="45.75" hidden="false" customHeight="true" outlineLevel="0" collapsed="false">
      <c r="A156" s="19" t="s">
        <v>870</v>
      </c>
      <c r="B156" s="19" t="s">
        <v>34</v>
      </c>
      <c r="C156" s="19" t="s">
        <v>871</v>
      </c>
      <c r="D156" s="19" t="s">
        <v>55</v>
      </c>
      <c r="E156" s="19" t="s">
        <v>872</v>
      </c>
      <c r="F156" s="19" t="s">
        <v>873</v>
      </c>
      <c r="G156" s="19" t="s">
        <v>194</v>
      </c>
      <c r="H156" s="19" t="s">
        <v>874</v>
      </c>
      <c r="I156" s="19" t="s">
        <v>875</v>
      </c>
      <c r="J156" s="19" t="n">
        <v>1</v>
      </c>
      <c r="K156" s="19" t="n">
        <v>6</v>
      </c>
      <c r="L156" s="19" t="s">
        <v>876</v>
      </c>
      <c r="M156" s="19"/>
      <c r="N156" s="19" t="s">
        <v>61</v>
      </c>
    </row>
    <row r="157" customFormat="false" ht="34.5" hidden="false" customHeight="true" outlineLevel="0" collapsed="false">
      <c r="A157" s="19" t="s">
        <v>877</v>
      </c>
      <c r="B157" s="19" t="s">
        <v>34</v>
      </c>
      <c r="C157" s="19" t="s">
        <v>823</v>
      </c>
      <c r="D157" s="19" t="s">
        <v>55</v>
      </c>
      <c r="E157" s="19" t="s">
        <v>878</v>
      </c>
      <c r="F157" s="19"/>
      <c r="G157" s="19" t="s">
        <v>194</v>
      </c>
      <c r="H157" s="19" t="s">
        <v>879</v>
      </c>
      <c r="I157" s="19" t="s">
        <v>880</v>
      </c>
      <c r="J157" s="19" t="n">
        <v>1</v>
      </c>
      <c r="K157" s="19" t="n">
        <v>3</v>
      </c>
      <c r="L157" s="19" t="s">
        <v>881</v>
      </c>
      <c r="M157" s="19"/>
      <c r="N157" s="19" t="s">
        <v>61</v>
      </c>
    </row>
    <row r="158" customFormat="false" ht="57" hidden="false" customHeight="true" outlineLevel="0" collapsed="false">
      <c r="A158" s="19" t="s">
        <v>882</v>
      </c>
      <c r="B158" s="19" t="s">
        <v>34</v>
      </c>
      <c r="C158" s="19" t="s">
        <v>823</v>
      </c>
      <c r="D158" s="19" t="s">
        <v>55</v>
      </c>
      <c r="E158" s="19" t="s">
        <v>883</v>
      </c>
      <c r="F158" s="19"/>
      <c r="G158" s="19" t="s">
        <v>194</v>
      </c>
      <c r="H158" s="19" t="s">
        <v>884</v>
      </c>
      <c r="I158" s="19" t="s">
        <v>885</v>
      </c>
      <c r="J158" s="19" t="n">
        <v>1</v>
      </c>
      <c r="K158" s="19" t="n">
        <v>3</v>
      </c>
      <c r="L158" s="19" t="s">
        <v>886</v>
      </c>
      <c r="M158" s="19"/>
      <c r="N158" s="19" t="s">
        <v>61</v>
      </c>
    </row>
    <row r="159" customFormat="false" ht="34.5" hidden="false" customHeight="true" outlineLevel="0" collapsed="false">
      <c r="A159" s="19" t="s">
        <v>887</v>
      </c>
      <c r="B159" s="19" t="s">
        <v>34</v>
      </c>
      <c r="C159" s="19" t="s">
        <v>871</v>
      </c>
      <c r="D159" s="19" t="s">
        <v>55</v>
      </c>
      <c r="E159" s="19" t="s">
        <v>888</v>
      </c>
      <c r="F159" s="19"/>
      <c r="G159" s="19" t="s">
        <v>889</v>
      </c>
      <c r="H159" s="19" t="s">
        <v>496</v>
      </c>
      <c r="I159" s="19" t="s">
        <v>890</v>
      </c>
      <c r="J159" s="19" t="n">
        <v>1</v>
      </c>
      <c r="K159" s="19" t="n">
        <v>9</v>
      </c>
      <c r="L159" s="19" t="s">
        <v>891</v>
      </c>
      <c r="M159" s="19"/>
      <c r="N159" s="19" t="s">
        <v>61</v>
      </c>
    </row>
    <row r="160" customFormat="false" ht="34.5" hidden="false" customHeight="true" outlineLevel="0" collapsed="false">
      <c r="A160" s="19" t="s">
        <v>892</v>
      </c>
      <c r="B160" s="19" t="s">
        <v>34</v>
      </c>
      <c r="C160" s="19" t="s">
        <v>871</v>
      </c>
      <c r="D160" s="19" t="s">
        <v>55</v>
      </c>
      <c r="E160" s="19" t="s">
        <v>893</v>
      </c>
      <c r="F160" s="19" t="s">
        <v>894</v>
      </c>
      <c r="G160" s="19" t="s">
        <v>889</v>
      </c>
      <c r="H160" s="19" t="s">
        <v>496</v>
      </c>
      <c r="I160" s="19" t="s">
        <v>895</v>
      </c>
      <c r="J160" s="19" t="n">
        <v>2</v>
      </c>
      <c r="K160" s="19" t="n">
        <v>5</v>
      </c>
      <c r="L160" s="19" t="s">
        <v>896</v>
      </c>
      <c r="M160" s="19"/>
      <c r="N160" s="19" t="s">
        <v>61</v>
      </c>
    </row>
    <row r="161" customFormat="false" ht="34.5" hidden="false" customHeight="true" outlineLevel="0" collapsed="false">
      <c r="A161" s="19" t="s">
        <v>897</v>
      </c>
      <c r="B161" s="19" t="s">
        <v>34</v>
      </c>
      <c r="C161" s="19" t="s">
        <v>871</v>
      </c>
      <c r="D161" s="19" t="s">
        <v>55</v>
      </c>
      <c r="E161" s="19" t="s">
        <v>898</v>
      </c>
      <c r="F161" s="19"/>
      <c r="G161" s="19" t="s">
        <v>889</v>
      </c>
      <c r="H161" s="19" t="s">
        <v>496</v>
      </c>
      <c r="I161" s="19" t="s">
        <v>899</v>
      </c>
      <c r="J161" s="19" t="n">
        <v>1</v>
      </c>
      <c r="K161" s="19" t="n">
        <v>3</v>
      </c>
      <c r="L161" s="19" t="s">
        <v>900</v>
      </c>
      <c r="M161" s="19"/>
      <c r="N161" s="19" t="s">
        <v>61</v>
      </c>
    </row>
    <row r="162" customFormat="false" ht="34.5" hidden="false" customHeight="true" outlineLevel="0" collapsed="false">
      <c r="A162" s="19" t="s">
        <v>901</v>
      </c>
      <c r="B162" s="19" t="s">
        <v>34</v>
      </c>
      <c r="C162" s="19" t="s">
        <v>871</v>
      </c>
      <c r="D162" s="19" t="s">
        <v>55</v>
      </c>
      <c r="E162" s="19" t="s">
        <v>902</v>
      </c>
      <c r="F162" s="19"/>
      <c r="G162" s="19" t="s">
        <v>889</v>
      </c>
      <c r="H162" s="19" t="s">
        <v>496</v>
      </c>
      <c r="I162" s="19" t="s">
        <v>903</v>
      </c>
      <c r="J162" s="19" t="n">
        <v>1</v>
      </c>
      <c r="K162" s="19" t="n">
        <v>2</v>
      </c>
      <c r="L162" s="19" t="s">
        <v>904</v>
      </c>
      <c r="M162" s="19"/>
      <c r="N162" s="19" t="s">
        <v>61</v>
      </c>
    </row>
    <row r="163" customFormat="false" ht="34.5" hidden="false" customHeight="true" outlineLevel="0" collapsed="false">
      <c r="A163" s="19" t="s">
        <v>905</v>
      </c>
      <c r="B163" s="19" t="s">
        <v>34</v>
      </c>
      <c r="C163" s="19" t="s">
        <v>871</v>
      </c>
      <c r="D163" s="19" t="s">
        <v>55</v>
      </c>
      <c r="E163" s="19" t="s">
        <v>906</v>
      </c>
      <c r="F163" s="19" t="s">
        <v>907</v>
      </c>
      <c r="G163" s="19" t="s">
        <v>889</v>
      </c>
      <c r="H163" s="19" t="s">
        <v>908</v>
      </c>
      <c r="I163" s="19" t="s">
        <v>909</v>
      </c>
      <c r="J163" s="19" t="n">
        <v>1</v>
      </c>
      <c r="K163" s="19" t="n">
        <v>2</v>
      </c>
      <c r="L163" s="19" t="s">
        <v>910</v>
      </c>
      <c r="M163" s="19"/>
      <c r="N163" s="19" t="s">
        <v>61</v>
      </c>
    </row>
    <row r="164" customFormat="false" ht="57" hidden="false" customHeight="true" outlineLevel="0" collapsed="false">
      <c r="A164" s="19" t="s">
        <v>911</v>
      </c>
      <c r="B164" s="19" t="s">
        <v>34</v>
      </c>
      <c r="C164" s="19" t="s">
        <v>871</v>
      </c>
      <c r="D164" s="19" t="s">
        <v>55</v>
      </c>
      <c r="E164" s="19" t="s">
        <v>912</v>
      </c>
      <c r="F164" s="19" t="s">
        <v>913</v>
      </c>
      <c r="G164" s="19" t="s">
        <v>914</v>
      </c>
      <c r="H164" s="19" t="s">
        <v>908</v>
      </c>
      <c r="I164" s="19" t="s">
        <v>915</v>
      </c>
      <c r="J164" s="19" t="n">
        <v>1</v>
      </c>
      <c r="K164" s="19" t="n">
        <v>1</v>
      </c>
      <c r="L164" s="19" t="s">
        <v>916</v>
      </c>
      <c r="M164" s="19"/>
      <c r="N164" s="19" t="s">
        <v>61</v>
      </c>
    </row>
    <row r="165" customFormat="false" ht="45.75" hidden="false" customHeight="true" outlineLevel="0" collapsed="false">
      <c r="A165" s="19" t="s">
        <v>917</v>
      </c>
      <c r="B165" s="19" t="s">
        <v>34</v>
      </c>
      <c r="C165" s="19" t="s">
        <v>823</v>
      </c>
      <c r="D165" s="19" t="s">
        <v>55</v>
      </c>
      <c r="E165" s="19" t="s">
        <v>918</v>
      </c>
      <c r="F165" s="19" t="s">
        <v>919</v>
      </c>
      <c r="G165" s="19" t="s">
        <v>889</v>
      </c>
      <c r="H165" s="19" t="s">
        <v>920</v>
      </c>
      <c r="I165" s="19" t="s">
        <v>921</v>
      </c>
      <c r="J165" s="19" t="n">
        <v>1</v>
      </c>
      <c r="K165" s="19" t="n">
        <v>10</v>
      </c>
      <c r="L165" s="19" t="s">
        <v>922</v>
      </c>
      <c r="M165" s="19"/>
      <c r="N165" s="19" t="s">
        <v>61</v>
      </c>
    </row>
    <row r="166" customFormat="false" ht="34.5" hidden="false" customHeight="true" outlineLevel="0" collapsed="false">
      <c r="A166" s="19" t="s">
        <v>923</v>
      </c>
      <c r="B166" s="19" t="s">
        <v>34</v>
      </c>
      <c r="C166" s="19" t="s">
        <v>871</v>
      </c>
      <c r="D166" s="19" t="s">
        <v>55</v>
      </c>
      <c r="E166" s="19" t="s">
        <v>924</v>
      </c>
      <c r="F166" s="19"/>
      <c r="G166" s="19" t="s">
        <v>194</v>
      </c>
      <c r="H166" s="19" t="s">
        <v>836</v>
      </c>
      <c r="I166" s="19" t="s">
        <v>925</v>
      </c>
      <c r="J166" s="19" t="n">
        <v>1</v>
      </c>
      <c r="K166" s="19" t="n">
        <v>2</v>
      </c>
      <c r="L166" s="19" t="s">
        <v>926</v>
      </c>
      <c r="M166" s="19"/>
      <c r="N166" s="19" t="s">
        <v>61</v>
      </c>
    </row>
    <row r="167" customFormat="false" ht="45.75" hidden="false" customHeight="true" outlineLevel="0" collapsed="false">
      <c r="A167" s="19" t="s">
        <v>927</v>
      </c>
      <c r="B167" s="19" t="s">
        <v>34</v>
      </c>
      <c r="C167" s="19" t="s">
        <v>928</v>
      </c>
      <c r="D167" s="19" t="s">
        <v>55</v>
      </c>
      <c r="E167" s="19" t="s">
        <v>929</v>
      </c>
      <c r="F167" s="19" t="s">
        <v>930</v>
      </c>
      <c r="G167" s="19" t="s">
        <v>638</v>
      </c>
      <c r="H167" s="19" t="s">
        <v>931</v>
      </c>
      <c r="I167" s="19" t="s">
        <v>932</v>
      </c>
      <c r="J167" s="19" t="n">
        <v>1</v>
      </c>
      <c r="K167" s="19" t="n">
        <v>11</v>
      </c>
      <c r="L167" s="19" t="s">
        <v>933</v>
      </c>
      <c r="M167" s="19"/>
      <c r="N167" s="19" t="s">
        <v>61</v>
      </c>
    </row>
    <row r="168" customFormat="false" ht="45.75" hidden="false" customHeight="true" outlineLevel="0" collapsed="false">
      <c r="A168" s="19" t="s">
        <v>934</v>
      </c>
      <c r="B168" s="19" t="s">
        <v>34</v>
      </c>
      <c r="C168" s="19" t="s">
        <v>928</v>
      </c>
      <c r="D168" s="19" t="s">
        <v>55</v>
      </c>
      <c r="E168" s="19" t="s">
        <v>935</v>
      </c>
      <c r="F168" s="19"/>
      <c r="G168" s="19" t="s">
        <v>638</v>
      </c>
      <c r="H168" s="19" t="s">
        <v>936</v>
      </c>
      <c r="I168" s="19" t="s">
        <v>937</v>
      </c>
      <c r="J168" s="19" t="n">
        <v>1</v>
      </c>
      <c r="K168" s="19" t="n">
        <v>5</v>
      </c>
      <c r="L168" s="19" t="s">
        <v>938</v>
      </c>
      <c r="M168" s="19"/>
      <c r="N168" s="19" t="s">
        <v>61</v>
      </c>
    </row>
    <row r="169" customFormat="false" ht="34.5" hidden="false" customHeight="true" outlineLevel="0" collapsed="false">
      <c r="A169" s="19" t="s">
        <v>939</v>
      </c>
      <c r="B169" s="19" t="s">
        <v>34</v>
      </c>
      <c r="C169" s="19" t="s">
        <v>928</v>
      </c>
      <c r="D169" s="19" t="s">
        <v>55</v>
      </c>
      <c r="E169" s="19" t="s">
        <v>940</v>
      </c>
      <c r="F169" s="19"/>
      <c r="G169" s="19" t="s">
        <v>194</v>
      </c>
      <c r="H169" s="19" t="s">
        <v>941</v>
      </c>
      <c r="I169" s="19" t="s">
        <v>942</v>
      </c>
      <c r="J169" s="19" t="n">
        <v>1</v>
      </c>
      <c r="K169" s="19" t="n">
        <v>1</v>
      </c>
      <c r="L169" s="19" t="s">
        <v>943</v>
      </c>
      <c r="M169" s="19"/>
      <c r="N169" s="19" t="s">
        <v>61</v>
      </c>
    </row>
    <row r="170" customFormat="false" ht="34.5" hidden="false" customHeight="true" outlineLevel="0" collapsed="false">
      <c r="A170" s="19" t="s">
        <v>944</v>
      </c>
      <c r="B170" s="19" t="s">
        <v>34</v>
      </c>
      <c r="C170" s="19" t="s">
        <v>823</v>
      </c>
      <c r="D170" s="19" t="s">
        <v>55</v>
      </c>
      <c r="E170" s="19" t="s">
        <v>945</v>
      </c>
      <c r="F170" s="19" t="s">
        <v>946</v>
      </c>
      <c r="G170" s="19" t="s">
        <v>889</v>
      </c>
      <c r="H170" s="19" t="s">
        <v>947</v>
      </c>
      <c r="I170" s="19" t="s">
        <v>948</v>
      </c>
      <c r="J170" s="19" t="n">
        <v>1</v>
      </c>
      <c r="K170" s="19" t="n">
        <v>6</v>
      </c>
      <c r="L170" s="19" t="s">
        <v>949</v>
      </c>
      <c r="M170" s="19"/>
      <c r="N170" s="19" t="s">
        <v>61</v>
      </c>
    </row>
    <row r="171" customFormat="false" ht="34.5" hidden="false" customHeight="true" outlineLevel="0" collapsed="false">
      <c r="A171" s="19" t="s">
        <v>950</v>
      </c>
      <c r="B171" s="19" t="s">
        <v>34</v>
      </c>
      <c r="C171" s="19" t="s">
        <v>823</v>
      </c>
      <c r="D171" s="19" t="s">
        <v>55</v>
      </c>
      <c r="E171" s="19" t="s">
        <v>951</v>
      </c>
      <c r="F171" s="19"/>
      <c r="G171" s="19" t="s">
        <v>889</v>
      </c>
      <c r="H171" s="19" t="s">
        <v>952</v>
      </c>
      <c r="I171" s="19" t="s">
        <v>953</v>
      </c>
      <c r="J171" s="19" t="n">
        <v>1</v>
      </c>
      <c r="K171" s="19" t="n">
        <v>3</v>
      </c>
      <c r="L171" s="19" t="s">
        <v>954</v>
      </c>
      <c r="M171" s="19"/>
      <c r="N171" s="19" t="s">
        <v>61</v>
      </c>
    </row>
    <row r="172" customFormat="false" ht="45.75" hidden="false" customHeight="true" outlineLevel="0" collapsed="false">
      <c r="A172" s="19" t="s">
        <v>955</v>
      </c>
      <c r="B172" s="19" t="s">
        <v>34</v>
      </c>
      <c r="C172" s="19" t="s">
        <v>871</v>
      </c>
      <c r="D172" s="19" t="s">
        <v>55</v>
      </c>
      <c r="E172" s="19" t="s">
        <v>956</v>
      </c>
      <c r="F172" s="19"/>
      <c r="G172" s="19" t="s">
        <v>957</v>
      </c>
      <c r="H172" s="19" t="s">
        <v>958</v>
      </c>
      <c r="I172" s="19" t="s">
        <v>959</v>
      </c>
      <c r="J172" s="19" t="n">
        <v>1</v>
      </c>
      <c r="K172" s="19" t="n">
        <v>2</v>
      </c>
      <c r="L172" s="19" t="s">
        <v>960</v>
      </c>
      <c r="M172" s="19"/>
      <c r="N172" s="19" t="s">
        <v>61</v>
      </c>
    </row>
    <row r="173" customFormat="false" ht="45.75" hidden="false" customHeight="true" outlineLevel="0" collapsed="false">
      <c r="A173" s="19" t="s">
        <v>961</v>
      </c>
      <c r="B173" s="19" t="s">
        <v>34</v>
      </c>
      <c r="C173" s="19" t="s">
        <v>928</v>
      </c>
      <c r="D173" s="19" t="s">
        <v>55</v>
      </c>
      <c r="E173" s="19" t="s">
        <v>962</v>
      </c>
      <c r="F173" s="19"/>
      <c r="G173" s="19" t="s">
        <v>638</v>
      </c>
      <c r="H173" s="19" t="s">
        <v>963</v>
      </c>
      <c r="I173" s="19" t="s">
        <v>964</v>
      </c>
      <c r="J173" s="19" t="n">
        <v>1</v>
      </c>
      <c r="K173" s="19" t="n">
        <v>9</v>
      </c>
      <c r="L173" s="19" t="s">
        <v>965</v>
      </c>
      <c r="M173" s="19"/>
      <c r="N173" s="19" t="s">
        <v>61</v>
      </c>
    </row>
    <row r="174" customFormat="false" ht="57" hidden="false" customHeight="true" outlineLevel="0" collapsed="false">
      <c r="A174" s="19" t="s">
        <v>966</v>
      </c>
      <c r="B174" s="19" t="s">
        <v>35</v>
      </c>
      <c r="C174" s="19" t="s">
        <v>967</v>
      </c>
      <c r="D174" s="19" t="s">
        <v>968</v>
      </c>
      <c r="E174" s="19" t="s">
        <v>969</v>
      </c>
      <c r="F174" s="19"/>
      <c r="G174" s="19" t="s">
        <v>841</v>
      </c>
      <c r="H174" s="19" t="s">
        <v>496</v>
      </c>
      <c r="I174" s="19" t="s">
        <v>970</v>
      </c>
      <c r="J174" s="19" t="n">
        <v>1</v>
      </c>
      <c r="K174" s="19" t="n">
        <v>3</v>
      </c>
      <c r="L174" s="19" t="s">
        <v>971</v>
      </c>
      <c r="M174" s="19"/>
      <c r="N174" s="19" t="s">
        <v>61</v>
      </c>
    </row>
    <row r="175" customFormat="false" ht="34.5" hidden="false" customHeight="true" outlineLevel="0" collapsed="false">
      <c r="A175" s="19" t="s">
        <v>972</v>
      </c>
      <c r="B175" s="19" t="s">
        <v>35</v>
      </c>
      <c r="C175" s="19" t="s">
        <v>967</v>
      </c>
      <c r="D175" s="19" t="s">
        <v>968</v>
      </c>
      <c r="E175" s="19" t="s">
        <v>973</v>
      </c>
      <c r="F175" s="19" t="s">
        <v>974</v>
      </c>
      <c r="G175" s="19" t="s">
        <v>194</v>
      </c>
      <c r="H175" s="19" t="s">
        <v>496</v>
      </c>
      <c r="I175" s="19" t="s">
        <v>975</v>
      </c>
      <c r="J175" s="19" t="n">
        <v>1</v>
      </c>
      <c r="K175" s="19" t="n">
        <v>1</v>
      </c>
      <c r="L175" s="19" t="s">
        <v>976</v>
      </c>
      <c r="M175" s="19"/>
      <c r="N175" s="19" t="s">
        <v>61</v>
      </c>
    </row>
    <row r="176" customFormat="false" ht="57" hidden="false" customHeight="true" outlineLevel="0" collapsed="false">
      <c r="A176" s="19" t="s">
        <v>977</v>
      </c>
      <c r="B176" s="19" t="s">
        <v>35</v>
      </c>
      <c r="C176" s="19" t="s">
        <v>967</v>
      </c>
      <c r="D176" s="19" t="s">
        <v>968</v>
      </c>
      <c r="E176" s="19" t="s">
        <v>978</v>
      </c>
      <c r="F176" s="19" t="s">
        <v>979</v>
      </c>
      <c r="G176" s="19" t="s">
        <v>841</v>
      </c>
      <c r="H176" s="19" t="s">
        <v>691</v>
      </c>
      <c r="I176" s="19" t="s">
        <v>980</v>
      </c>
      <c r="J176" s="19" t="n">
        <v>1</v>
      </c>
      <c r="K176" s="19" t="n">
        <v>4</v>
      </c>
      <c r="L176" s="19" t="s">
        <v>981</v>
      </c>
      <c r="M176" s="19"/>
      <c r="N176" s="19" t="s">
        <v>61</v>
      </c>
    </row>
    <row r="177" customFormat="false" ht="57" hidden="false" customHeight="true" outlineLevel="0" collapsed="false">
      <c r="A177" s="19" t="s">
        <v>982</v>
      </c>
      <c r="B177" s="19" t="s">
        <v>35</v>
      </c>
      <c r="C177" s="19" t="s">
        <v>967</v>
      </c>
      <c r="D177" s="19" t="s">
        <v>968</v>
      </c>
      <c r="E177" s="19" t="s">
        <v>983</v>
      </c>
      <c r="F177" s="19"/>
      <c r="G177" s="19" t="s">
        <v>841</v>
      </c>
      <c r="H177" s="19" t="s">
        <v>588</v>
      </c>
      <c r="I177" s="19" t="s">
        <v>984</v>
      </c>
      <c r="J177" s="19" t="n">
        <v>1</v>
      </c>
      <c r="K177" s="19" t="n">
        <v>5</v>
      </c>
      <c r="L177" s="19" t="s">
        <v>985</v>
      </c>
      <c r="M177" s="19"/>
      <c r="N177" s="19" t="s">
        <v>61</v>
      </c>
    </row>
    <row r="178" customFormat="false" ht="57" hidden="false" customHeight="true" outlineLevel="0" collapsed="false">
      <c r="A178" s="19" t="s">
        <v>986</v>
      </c>
      <c r="B178" s="19" t="s">
        <v>35</v>
      </c>
      <c r="C178" s="19" t="s">
        <v>967</v>
      </c>
      <c r="D178" s="19" t="s">
        <v>968</v>
      </c>
      <c r="E178" s="19" t="s">
        <v>987</v>
      </c>
      <c r="F178" s="19" t="s">
        <v>988</v>
      </c>
      <c r="G178" s="19" t="s">
        <v>841</v>
      </c>
      <c r="H178" s="19" t="s">
        <v>989</v>
      </c>
      <c r="I178" s="19" t="s">
        <v>990</v>
      </c>
      <c r="J178" s="19" t="n">
        <v>1</v>
      </c>
      <c r="K178" s="19" t="n">
        <v>4</v>
      </c>
      <c r="L178" s="19" t="s">
        <v>991</v>
      </c>
      <c r="M178" s="19"/>
      <c r="N178" s="19" t="s">
        <v>61</v>
      </c>
    </row>
    <row r="179" customFormat="false" ht="57" hidden="false" customHeight="true" outlineLevel="0" collapsed="false">
      <c r="A179" s="19" t="s">
        <v>992</v>
      </c>
      <c r="B179" s="19" t="s">
        <v>35</v>
      </c>
      <c r="C179" s="19" t="s">
        <v>967</v>
      </c>
      <c r="D179" s="19" t="s">
        <v>968</v>
      </c>
      <c r="E179" s="19" t="s">
        <v>993</v>
      </c>
      <c r="F179" s="19" t="s">
        <v>994</v>
      </c>
      <c r="G179" s="19" t="s">
        <v>841</v>
      </c>
      <c r="H179" s="19" t="s">
        <v>995</v>
      </c>
      <c r="I179" s="19" t="s">
        <v>996</v>
      </c>
      <c r="J179" s="19" t="n">
        <v>1</v>
      </c>
      <c r="K179" s="19" t="n">
        <v>2</v>
      </c>
      <c r="L179" s="19" t="s">
        <v>997</v>
      </c>
      <c r="M179" s="19"/>
      <c r="N179" s="19" t="s">
        <v>61</v>
      </c>
    </row>
    <row r="180" customFormat="false" ht="45.75" hidden="false" customHeight="true" outlineLevel="0" collapsed="false">
      <c r="A180" s="19" t="s">
        <v>998</v>
      </c>
      <c r="B180" s="19" t="s">
        <v>35</v>
      </c>
      <c r="C180" s="19" t="s">
        <v>967</v>
      </c>
      <c r="D180" s="19" t="s">
        <v>968</v>
      </c>
      <c r="E180" s="19" t="s">
        <v>999</v>
      </c>
      <c r="F180" s="19" t="s">
        <v>1000</v>
      </c>
      <c r="G180" s="19" t="s">
        <v>1001</v>
      </c>
      <c r="H180" s="19" t="s">
        <v>836</v>
      </c>
      <c r="I180" s="19" t="s">
        <v>1002</v>
      </c>
      <c r="J180" s="19" t="n">
        <v>1</v>
      </c>
      <c r="K180" s="19" t="n">
        <v>2</v>
      </c>
      <c r="L180" s="19" t="s">
        <v>1003</v>
      </c>
      <c r="M180" s="19"/>
      <c r="N180" s="19" t="s">
        <v>61</v>
      </c>
    </row>
    <row r="181" customFormat="false" ht="45.75" hidden="false" customHeight="true" outlineLevel="0" collapsed="false">
      <c r="A181" s="19" t="s">
        <v>1004</v>
      </c>
      <c r="B181" s="19" t="s">
        <v>35</v>
      </c>
      <c r="C181" s="19" t="s">
        <v>967</v>
      </c>
      <c r="D181" s="19" t="s">
        <v>968</v>
      </c>
      <c r="E181" s="19" t="s">
        <v>1005</v>
      </c>
      <c r="F181" s="19"/>
      <c r="G181" s="19" t="s">
        <v>1001</v>
      </c>
      <c r="H181" s="19" t="s">
        <v>200</v>
      </c>
      <c r="I181" s="19" t="s">
        <v>1006</v>
      </c>
      <c r="J181" s="19" t="n">
        <v>1</v>
      </c>
      <c r="K181" s="19" t="n">
        <v>2</v>
      </c>
      <c r="L181" s="19" t="s">
        <v>1007</v>
      </c>
      <c r="M181" s="19"/>
      <c r="N181" s="19" t="s">
        <v>61</v>
      </c>
    </row>
    <row r="182" customFormat="false" ht="34.5" hidden="false" customHeight="true" outlineLevel="0" collapsed="false">
      <c r="A182" s="19" t="s">
        <v>1008</v>
      </c>
      <c r="B182" s="19" t="s">
        <v>35</v>
      </c>
      <c r="C182" s="19" t="s">
        <v>967</v>
      </c>
      <c r="D182" s="19" t="s">
        <v>968</v>
      </c>
      <c r="E182" s="19" t="s">
        <v>1009</v>
      </c>
      <c r="F182" s="19"/>
      <c r="G182" s="19" t="s">
        <v>158</v>
      </c>
      <c r="H182" s="19" t="s">
        <v>1010</v>
      </c>
      <c r="I182" s="19" t="s">
        <v>1011</v>
      </c>
      <c r="J182" s="19" t="n">
        <v>1</v>
      </c>
      <c r="K182" s="19" t="n">
        <v>2</v>
      </c>
      <c r="L182" s="19" t="s">
        <v>1012</v>
      </c>
      <c r="M182" s="19"/>
      <c r="N182" s="19" t="s">
        <v>61</v>
      </c>
    </row>
    <row r="183" customFormat="false" ht="45.75" hidden="false" customHeight="true" outlineLevel="0" collapsed="false">
      <c r="A183" s="19" t="s">
        <v>1013</v>
      </c>
      <c r="B183" s="19" t="s">
        <v>35</v>
      </c>
      <c r="C183" s="19" t="s">
        <v>967</v>
      </c>
      <c r="D183" s="19" t="s">
        <v>968</v>
      </c>
      <c r="E183" s="19" t="s">
        <v>1014</v>
      </c>
      <c r="F183" s="19" t="s">
        <v>1015</v>
      </c>
      <c r="G183" s="19" t="s">
        <v>638</v>
      </c>
      <c r="H183" s="19" t="s">
        <v>1016</v>
      </c>
      <c r="I183" s="19" t="s">
        <v>1017</v>
      </c>
      <c r="J183" s="19" t="n">
        <v>1</v>
      </c>
      <c r="K183" s="19" t="n">
        <v>4</v>
      </c>
      <c r="L183" s="19" t="s">
        <v>1018</v>
      </c>
      <c r="M183" s="19"/>
      <c r="N183" s="19" t="s">
        <v>61</v>
      </c>
    </row>
    <row r="184" customFormat="false" ht="45.75" hidden="false" customHeight="true" outlineLevel="0" collapsed="false">
      <c r="A184" s="19" t="s">
        <v>1019</v>
      </c>
      <c r="B184" s="19" t="s">
        <v>35</v>
      </c>
      <c r="C184" s="19" t="s">
        <v>967</v>
      </c>
      <c r="D184" s="19" t="s">
        <v>968</v>
      </c>
      <c r="E184" s="19" t="s">
        <v>1020</v>
      </c>
      <c r="F184" s="19"/>
      <c r="G184" s="19" t="s">
        <v>638</v>
      </c>
      <c r="H184" s="19" t="s">
        <v>1021</v>
      </c>
      <c r="I184" s="19" t="s">
        <v>1022</v>
      </c>
      <c r="J184" s="19" t="n">
        <v>1</v>
      </c>
      <c r="K184" s="19" t="n">
        <v>5</v>
      </c>
      <c r="L184" s="19" t="s">
        <v>1023</v>
      </c>
      <c r="M184" s="19"/>
      <c r="N184" s="19" t="s">
        <v>61</v>
      </c>
    </row>
    <row r="185" customFormat="false" ht="34.5" hidden="false" customHeight="true" outlineLevel="0" collapsed="false">
      <c r="A185" s="19" t="s">
        <v>1024</v>
      </c>
      <c r="B185" s="19" t="s">
        <v>35</v>
      </c>
      <c r="C185" s="19" t="s">
        <v>967</v>
      </c>
      <c r="D185" s="19" t="s">
        <v>968</v>
      </c>
      <c r="E185" s="19" t="s">
        <v>1025</v>
      </c>
      <c r="F185" s="19" t="s">
        <v>1026</v>
      </c>
      <c r="G185" s="19" t="s">
        <v>194</v>
      </c>
      <c r="H185" s="19" t="s">
        <v>1027</v>
      </c>
      <c r="I185" s="19" t="s">
        <v>1028</v>
      </c>
      <c r="J185" s="19" t="n">
        <v>1</v>
      </c>
      <c r="K185" s="19" t="n">
        <v>3</v>
      </c>
      <c r="L185" s="19" t="s">
        <v>1029</v>
      </c>
      <c r="M185" s="19"/>
      <c r="N185" s="19" t="s">
        <v>61</v>
      </c>
    </row>
    <row r="186" customFormat="false" ht="57" hidden="false" customHeight="true" outlineLevel="0" collapsed="false">
      <c r="A186" s="19" t="s">
        <v>1030</v>
      </c>
      <c r="B186" s="19" t="s">
        <v>35</v>
      </c>
      <c r="C186" s="19" t="s">
        <v>967</v>
      </c>
      <c r="D186" s="19" t="s">
        <v>968</v>
      </c>
      <c r="E186" s="19" t="s">
        <v>1031</v>
      </c>
      <c r="F186" s="19" t="s">
        <v>1032</v>
      </c>
      <c r="G186" s="19" t="s">
        <v>841</v>
      </c>
      <c r="H186" s="19" t="s">
        <v>496</v>
      </c>
      <c r="I186" s="19" t="s">
        <v>1033</v>
      </c>
      <c r="J186" s="19" t="n">
        <v>1</v>
      </c>
      <c r="K186" s="19" t="n">
        <v>2</v>
      </c>
      <c r="L186" s="19" t="s">
        <v>1034</v>
      </c>
      <c r="M186" s="19"/>
      <c r="N186" s="19" t="s">
        <v>61</v>
      </c>
    </row>
    <row r="187" customFormat="false" ht="34.5" hidden="false" customHeight="true" outlineLevel="0" collapsed="false">
      <c r="A187" s="19" t="s">
        <v>1035</v>
      </c>
      <c r="B187" s="19" t="s">
        <v>35</v>
      </c>
      <c r="C187" s="19" t="s">
        <v>967</v>
      </c>
      <c r="D187" s="19" t="s">
        <v>968</v>
      </c>
      <c r="E187" s="19" t="s">
        <v>1036</v>
      </c>
      <c r="F187" s="19" t="s">
        <v>1037</v>
      </c>
      <c r="G187" s="19" t="s">
        <v>194</v>
      </c>
      <c r="H187" s="19" t="s">
        <v>496</v>
      </c>
      <c r="I187" s="19" t="s">
        <v>1038</v>
      </c>
      <c r="J187" s="19" t="n">
        <v>1</v>
      </c>
      <c r="K187" s="19" t="n">
        <v>3</v>
      </c>
      <c r="L187" s="19" t="s">
        <v>1039</v>
      </c>
      <c r="M187" s="19"/>
      <c r="N187" s="19" t="s">
        <v>61</v>
      </c>
    </row>
    <row r="188" customFormat="false" ht="34.5" hidden="false" customHeight="true" outlineLevel="0" collapsed="false">
      <c r="A188" s="19" t="s">
        <v>1040</v>
      </c>
      <c r="B188" s="19" t="s">
        <v>36</v>
      </c>
      <c r="C188" s="19" t="s">
        <v>1041</v>
      </c>
      <c r="D188" s="19" t="s">
        <v>968</v>
      </c>
      <c r="E188" s="19" t="s">
        <v>1042</v>
      </c>
      <c r="F188" s="19"/>
      <c r="G188" s="19" t="s">
        <v>194</v>
      </c>
      <c r="H188" s="19" t="s">
        <v>496</v>
      </c>
      <c r="I188" s="19" t="s">
        <v>1043</v>
      </c>
      <c r="J188" s="19" t="n">
        <v>1</v>
      </c>
      <c r="K188" s="19" t="n">
        <v>8</v>
      </c>
      <c r="L188" s="19" t="s">
        <v>1044</v>
      </c>
      <c r="M188" s="19"/>
      <c r="N188" s="19" t="s">
        <v>61</v>
      </c>
    </row>
    <row r="189" customFormat="false" ht="34.5" hidden="false" customHeight="true" outlineLevel="0" collapsed="false">
      <c r="A189" s="19" t="s">
        <v>1045</v>
      </c>
      <c r="B189" s="19" t="s">
        <v>36</v>
      </c>
      <c r="C189" s="19" t="s">
        <v>1041</v>
      </c>
      <c r="D189" s="19" t="s">
        <v>968</v>
      </c>
      <c r="E189" s="19" t="s">
        <v>1046</v>
      </c>
      <c r="F189" s="19" t="s">
        <v>1047</v>
      </c>
      <c r="G189" s="19" t="s">
        <v>1048</v>
      </c>
      <c r="H189" s="19" t="s">
        <v>496</v>
      </c>
      <c r="I189" s="19" t="s">
        <v>1049</v>
      </c>
      <c r="J189" s="19" t="n">
        <v>1</v>
      </c>
      <c r="K189" s="19" t="n">
        <v>3</v>
      </c>
      <c r="L189" s="19" t="s">
        <v>1050</v>
      </c>
      <c r="M189" s="19"/>
      <c r="N189" s="19" t="s">
        <v>61</v>
      </c>
    </row>
    <row r="190" customFormat="false" ht="45.75" hidden="false" customHeight="true" outlineLevel="0" collapsed="false">
      <c r="A190" s="19" t="s">
        <v>1051</v>
      </c>
      <c r="B190" s="19" t="s">
        <v>36</v>
      </c>
      <c r="C190" s="19" t="s">
        <v>1041</v>
      </c>
      <c r="D190" s="19" t="s">
        <v>968</v>
      </c>
      <c r="E190" s="19" t="s">
        <v>1052</v>
      </c>
      <c r="F190" s="19" t="s">
        <v>1053</v>
      </c>
      <c r="G190" s="19" t="s">
        <v>1054</v>
      </c>
      <c r="H190" s="19" t="s">
        <v>1055</v>
      </c>
      <c r="I190" s="19" t="s">
        <v>1056</v>
      </c>
      <c r="J190" s="19" t="n">
        <v>1</v>
      </c>
      <c r="K190" s="19" t="n">
        <v>4</v>
      </c>
      <c r="L190" s="19" t="s">
        <v>1057</v>
      </c>
      <c r="M190" s="19"/>
      <c r="N190" s="19" t="s">
        <v>61</v>
      </c>
    </row>
    <row r="191" customFormat="false" ht="34.5" hidden="false" customHeight="true" outlineLevel="0" collapsed="false">
      <c r="A191" s="19" t="s">
        <v>1058</v>
      </c>
      <c r="B191" s="19" t="s">
        <v>36</v>
      </c>
      <c r="C191" s="19" t="s">
        <v>1041</v>
      </c>
      <c r="D191" s="19" t="s">
        <v>968</v>
      </c>
      <c r="E191" s="19" t="s">
        <v>1059</v>
      </c>
      <c r="F191" s="19" t="s">
        <v>1060</v>
      </c>
      <c r="G191" s="19" t="s">
        <v>1061</v>
      </c>
      <c r="H191" s="19" t="s">
        <v>496</v>
      </c>
      <c r="I191" s="19" t="s">
        <v>1062</v>
      </c>
      <c r="J191" s="19" t="n">
        <v>1</v>
      </c>
      <c r="K191" s="19" t="n">
        <v>2</v>
      </c>
      <c r="L191" s="19" t="s">
        <v>1063</v>
      </c>
      <c r="M191" s="19"/>
      <c r="N191" s="19" t="s">
        <v>61</v>
      </c>
    </row>
    <row r="192" customFormat="false" ht="45.75" hidden="false" customHeight="true" outlineLevel="0" collapsed="false">
      <c r="A192" s="19" t="s">
        <v>1064</v>
      </c>
      <c r="B192" s="19" t="s">
        <v>36</v>
      </c>
      <c r="C192" s="19" t="s">
        <v>1041</v>
      </c>
      <c r="D192" s="19" t="s">
        <v>968</v>
      </c>
      <c r="E192" s="19" t="s">
        <v>1065</v>
      </c>
      <c r="F192" s="19"/>
      <c r="G192" s="19" t="s">
        <v>1066</v>
      </c>
      <c r="H192" s="19" t="s">
        <v>496</v>
      </c>
      <c r="I192" s="19" t="s">
        <v>1067</v>
      </c>
      <c r="J192" s="19" t="n">
        <v>1</v>
      </c>
      <c r="K192" s="19" t="n">
        <v>8</v>
      </c>
      <c r="L192" s="19" t="s">
        <v>1068</v>
      </c>
      <c r="M192" s="19"/>
      <c r="N192" s="19" t="s">
        <v>61</v>
      </c>
    </row>
    <row r="193" customFormat="false" ht="57" hidden="false" customHeight="true" outlineLevel="0" collapsed="false">
      <c r="A193" s="19" t="s">
        <v>1069</v>
      </c>
      <c r="B193" s="19" t="s">
        <v>36</v>
      </c>
      <c r="C193" s="19" t="s">
        <v>1041</v>
      </c>
      <c r="D193" s="19" t="s">
        <v>968</v>
      </c>
      <c r="E193" s="19" t="s">
        <v>1070</v>
      </c>
      <c r="F193" s="19" t="s">
        <v>1071</v>
      </c>
      <c r="G193" s="19" t="s">
        <v>1072</v>
      </c>
      <c r="H193" s="19" t="s">
        <v>1073</v>
      </c>
      <c r="I193" s="19" t="s">
        <v>1074</v>
      </c>
      <c r="J193" s="19" t="n">
        <v>1</v>
      </c>
      <c r="K193" s="19" t="n">
        <v>2</v>
      </c>
      <c r="L193" s="19" t="s">
        <v>1075</v>
      </c>
      <c r="M193" s="19"/>
      <c r="N193" s="19" t="s">
        <v>61</v>
      </c>
    </row>
    <row r="194" customFormat="false" ht="57" hidden="false" customHeight="true" outlineLevel="0" collapsed="false">
      <c r="A194" s="19" t="s">
        <v>1076</v>
      </c>
      <c r="B194" s="19" t="s">
        <v>36</v>
      </c>
      <c r="C194" s="19" t="s">
        <v>1041</v>
      </c>
      <c r="D194" s="19" t="s">
        <v>968</v>
      </c>
      <c r="E194" s="19" t="s">
        <v>1077</v>
      </c>
      <c r="F194" s="19"/>
      <c r="G194" s="19" t="s">
        <v>1078</v>
      </c>
      <c r="H194" s="19" t="s">
        <v>496</v>
      </c>
      <c r="I194" s="19" t="s">
        <v>1079</v>
      </c>
      <c r="J194" s="19" t="n">
        <v>1</v>
      </c>
      <c r="K194" s="19" t="n">
        <v>11</v>
      </c>
      <c r="L194" s="19" t="s">
        <v>1080</v>
      </c>
      <c r="M194" s="19"/>
      <c r="N194" s="19" t="s">
        <v>61</v>
      </c>
    </row>
    <row r="195" customFormat="false" ht="57" hidden="false" customHeight="true" outlineLevel="0" collapsed="false">
      <c r="A195" s="19" t="s">
        <v>1081</v>
      </c>
      <c r="B195" s="19" t="s">
        <v>36</v>
      </c>
      <c r="C195" s="19" t="s">
        <v>1041</v>
      </c>
      <c r="D195" s="19" t="s">
        <v>968</v>
      </c>
      <c r="E195" s="19" t="s">
        <v>1082</v>
      </c>
      <c r="F195" s="19" t="s">
        <v>1083</v>
      </c>
      <c r="G195" s="19" t="s">
        <v>1078</v>
      </c>
      <c r="H195" s="19" t="s">
        <v>496</v>
      </c>
      <c r="I195" s="19" t="s">
        <v>1084</v>
      </c>
      <c r="J195" s="19" t="n">
        <v>1</v>
      </c>
      <c r="K195" s="19" t="n">
        <v>3</v>
      </c>
      <c r="L195" s="19" t="s">
        <v>1085</v>
      </c>
      <c r="M195" s="19"/>
      <c r="N195" s="19" t="s">
        <v>61</v>
      </c>
    </row>
    <row r="196" customFormat="false" ht="57" hidden="false" customHeight="true" outlineLevel="0" collapsed="false">
      <c r="A196" s="19" t="s">
        <v>1086</v>
      </c>
      <c r="B196" s="19" t="s">
        <v>36</v>
      </c>
      <c r="C196" s="19" t="s">
        <v>1041</v>
      </c>
      <c r="D196" s="19" t="s">
        <v>968</v>
      </c>
      <c r="E196" s="19" t="s">
        <v>1087</v>
      </c>
      <c r="F196" s="19" t="s">
        <v>1088</v>
      </c>
      <c r="G196" s="19" t="s">
        <v>1089</v>
      </c>
      <c r="H196" s="19" t="s">
        <v>1073</v>
      </c>
      <c r="I196" s="19" t="s">
        <v>1090</v>
      </c>
      <c r="J196" s="19" t="n">
        <v>1</v>
      </c>
      <c r="K196" s="19" t="n">
        <v>2</v>
      </c>
      <c r="L196" s="19" t="s">
        <v>1091</v>
      </c>
      <c r="M196" s="19"/>
      <c r="N196" s="19" t="s">
        <v>61</v>
      </c>
    </row>
    <row r="197" customFormat="false" ht="57" hidden="false" customHeight="true" outlineLevel="0" collapsed="false">
      <c r="A197" s="19" t="s">
        <v>1092</v>
      </c>
      <c r="B197" s="19" t="s">
        <v>36</v>
      </c>
      <c r="C197" s="19" t="s">
        <v>1041</v>
      </c>
      <c r="D197" s="19" t="s">
        <v>968</v>
      </c>
      <c r="E197" s="19" t="s">
        <v>1093</v>
      </c>
      <c r="F197" s="19" t="s">
        <v>1094</v>
      </c>
      <c r="G197" s="19" t="s">
        <v>1078</v>
      </c>
      <c r="H197" s="19" t="s">
        <v>1095</v>
      </c>
      <c r="I197" s="19" t="s">
        <v>1096</v>
      </c>
      <c r="J197" s="19" t="n">
        <v>1</v>
      </c>
      <c r="K197" s="19" t="n">
        <v>5</v>
      </c>
      <c r="L197" s="19" t="s">
        <v>1097</v>
      </c>
      <c r="M197" s="19"/>
      <c r="N197" s="19" t="s">
        <v>61</v>
      </c>
    </row>
    <row r="198" customFormat="false" ht="68.25" hidden="false" customHeight="true" outlineLevel="0" collapsed="false">
      <c r="A198" s="19" t="s">
        <v>1098</v>
      </c>
      <c r="B198" s="19" t="s">
        <v>36</v>
      </c>
      <c r="C198" s="19" t="s">
        <v>1041</v>
      </c>
      <c r="D198" s="19" t="s">
        <v>968</v>
      </c>
      <c r="E198" s="19" t="s">
        <v>1099</v>
      </c>
      <c r="F198" s="19"/>
      <c r="G198" s="19" t="s">
        <v>1100</v>
      </c>
      <c r="H198" s="19" t="s">
        <v>1101</v>
      </c>
      <c r="I198" s="19" t="s">
        <v>1102</v>
      </c>
      <c r="J198" s="19" t="n">
        <v>1</v>
      </c>
      <c r="K198" s="19" t="n">
        <v>3</v>
      </c>
      <c r="L198" s="19" t="s">
        <v>1103</v>
      </c>
      <c r="M198" s="19"/>
      <c r="N198" s="19" t="s">
        <v>61</v>
      </c>
    </row>
    <row r="199" customFormat="false" ht="68.25" hidden="false" customHeight="true" outlineLevel="0" collapsed="false">
      <c r="A199" s="19" t="s">
        <v>1104</v>
      </c>
      <c r="B199" s="19" t="s">
        <v>36</v>
      </c>
      <c r="C199" s="19" t="s">
        <v>1041</v>
      </c>
      <c r="D199" s="19" t="s">
        <v>968</v>
      </c>
      <c r="E199" s="19" t="s">
        <v>1105</v>
      </c>
      <c r="F199" s="19"/>
      <c r="G199" s="19" t="s">
        <v>1106</v>
      </c>
      <c r="H199" s="19" t="s">
        <v>496</v>
      </c>
      <c r="I199" s="19" t="s">
        <v>1107</v>
      </c>
      <c r="J199" s="19" t="n">
        <v>1</v>
      </c>
      <c r="K199" s="19" t="n">
        <v>8</v>
      </c>
      <c r="L199" s="19" t="s">
        <v>1108</v>
      </c>
      <c r="M199" s="19"/>
      <c r="N199" s="19" t="s">
        <v>61</v>
      </c>
    </row>
    <row r="200" customFormat="false" ht="57" hidden="false" customHeight="true" outlineLevel="0" collapsed="false">
      <c r="A200" s="19" t="s">
        <v>1109</v>
      </c>
      <c r="B200" s="19" t="s">
        <v>36</v>
      </c>
      <c r="C200" s="19" t="s">
        <v>1041</v>
      </c>
      <c r="D200" s="19" t="s">
        <v>968</v>
      </c>
      <c r="E200" s="19" t="s">
        <v>1110</v>
      </c>
      <c r="F200" s="19" t="s">
        <v>1111</v>
      </c>
      <c r="G200" s="19" t="s">
        <v>1112</v>
      </c>
      <c r="H200" s="19" t="s">
        <v>496</v>
      </c>
      <c r="I200" s="19" t="s">
        <v>1113</v>
      </c>
      <c r="J200" s="19" t="n">
        <v>1</v>
      </c>
      <c r="K200" s="19" t="n">
        <v>2</v>
      </c>
      <c r="L200" s="19" t="s">
        <v>1114</v>
      </c>
      <c r="M200" s="19"/>
      <c r="N200" s="19" t="s">
        <v>61</v>
      </c>
    </row>
    <row r="201" customFormat="false" ht="45.75" hidden="false" customHeight="true" outlineLevel="0" collapsed="false">
      <c r="A201" s="19" t="s">
        <v>1115</v>
      </c>
      <c r="B201" s="19" t="s">
        <v>36</v>
      </c>
      <c r="C201" s="19" t="s">
        <v>1041</v>
      </c>
      <c r="D201" s="19" t="s">
        <v>968</v>
      </c>
      <c r="E201" s="19" t="s">
        <v>1116</v>
      </c>
      <c r="F201" s="19"/>
      <c r="G201" s="19" t="s">
        <v>1066</v>
      </c>
      <c r="H201" s="19" t="s">
        <v>496</v>
      </c>
      <c r="I201" s="19" t="s">
        <v>1117</v>
      </c>
      <c r="J201" s="19" t="n">
        <v>1</v>
      </c>
      <c r="K201" s="19" t="n">
        <v>2</v>
      </c>
      <c r="L201" s="19" t="s">
        <v>1118</v>
      </c>
      <c r="M201" s="19"/>
      <c r="N201" s="19" t="s">
        <v>61</v>
      </c>
    </row>
    <row r="202" customFormat="false" ht="45.75" hidden="false" customHeight="true" outlineLevel="0" collapsed="false">
      <c r="A202" s="19" t="s">
        <v>1119</v>
      </c>
      <c r="B202" s="19" t="s">
        <v>36</v>
      </c>
      <c r="C202" s="19" t="s">
        <v>1041</v>
      </c>
      <c r="D202" s="19" t="s">
        <v>968</v>
      </c>
      <c r="E202" s="19" t="s">
        <v>1120</v>
      </c>
      <c r="F202" s="19" t="s">
        <v>1121</v>
      </c>
      <c r="G202" s="19" t="s">
        <v>1066</v>
      </c>
      <c r="H202" s="19" t="s">
        <v>496</v>
      </c>
      <c r="I202" s="19" t="s">
        <v>1122</v>
      </c>
      <c r="J202" s="19" t="n">
        <v>1</v>
      </c>
      <c r="K202" s="19" t="n">
        <v>6</v>
      </c>
      <c r="L202" s="19" t="s">
        <v>1123</v>
      </c>
      <c r="M202" s="19"/>
      <c r="N202" s="19" t="s">
        <v>61</v>
      </c>
    </row>
    <row r="203" customFormat="false" ht="57" hidden="false" customHeight="true" outlineLevel="0" collapsed="false">
      <c r="A203" s="19" t="s">
        <v>1124</v>
      </c>
      <c r="B203" s="19" t="s">
        <v>36</v>
      </c>
      <c r="C203" s="19" t="s">
        <v>1041</v>
      </c>
      <c r="D203" s="19" t="s">
        <v>968</v>
      </c>
      <c r="E203" s="19" t="s">
        <v>1125</v>
      </c>
      <c r="F203" s="19"/>
      <c r="G203" s="19" t="s">
        <v>1126</v>
      </c>
      <c r="H203" s="19" t="s">
        <v>496</v>
      </c>
      <c r="I203" s="19" t="s">
        <v>1127</v>
      </c>
      <c r="J203" s="19" t="n">
        <v>1</v>
      </c>
      <c r="K203" s="19" t="n">
        <v>2</v>
      </c>
      <c r="L203" s="19" t="s">
        <v>1128</v>
      </c>
      <c r="M203" s="19"/>
      <c r="N203" s="19" t="s">
        <v>61</v>
      </c>
    </row>
    <row r="204" customFormat="false" ht="45.75" hidden="false" customHeight="true" outlineLevel="0" collapsed="false">
      <c r="A204" s="19" t="s">
        <v>1129</v>
      </c>
      <c r="B204" s="19" t="s">
        <v>36</v>
      </c>
      <c r="C204" s="19" t="s">
        <v>1041</v>
      </c>
      <c r="D204" s="19" t="s">
        <v>968</v>
      </c>
      <c r="E204" s="19" t="s">
        <v>1130</v>
      </c>
      <c r="F204" s="19"/>
      <c r="G204" s="19" t="s">
        <v>1131</v>
      </c>
      <c r="H204" s="19" t="s">
        <v>496</v>
      </c>
      <c r="I204" s="19" t="s">
        <v>1132</v>
      </c>
      <c r="J204" s="19" t="n">
        <v>1</v>
      </c>
      <c r="K204" s="19" t="n">
        <v>2</v>
      </c>
      <c r="L204" s="19" t="s">
        <v>1133</v>
      </c>
      <c r="M204" s="19"/>
      <c r="N204" s="19" t="s">
        <v>61</v>
      </c>
    </row>
    <row r="205" customFormat="false" ht="34.5" hidden="false" customHeight="true" outlineLevel="0" collapsed="false">
      <c r="A205" s="19" t="s">
        <v>1134</v>
      </c>
      <c r="B205" s="19" t="s">
        <v>36</v>
      </c>
      <c r="C205" s="19" t="s">
        <v>1041</v>
      </c>
      <c r="D205" s="19" t="s">
        <v>968</v>
      </c>
      <c r="E205" s="19" t="s">
        <v>1135</v>
      </c>
      <c r="F205" s="19"/>
      <c r="G205" s="19" t="s">
        <v>194</v>
      </c>
      <c r="H205" s="19" t="s">
        <v>496</v>
      </c>
      <c r="I205" s="19" t="s">
        <v>1136</v>
      </c>
      <c r="J205" s="19" t="n">
        <v>1</v>
      </c>
      <c r="K205" s="19" t="n">
        <v>2</v>
      </c>
      <c r="L205" s="19" t="s">
        <v>1137</v>
      </c>
      <c r="M205" s="19"/>
      <c r="N205" s="19" t="s">
        <v>61</v>
      </c>
    </row>
    <row r="206" customFormat="false" ht="34.5" hidden="false" customHeight="true" outlineLevel="0" collapsed="false">
      <c r="A206" s="19" t="s">
        <v>1138</v>
      </c>
      <c r="B206" s="19" t="s">
        <v>36</v>
      </c>
      <c r="C206" s="19" t="s">
        <v>1041</v>
      </c>
      <c r="D206" s="19" t="s">
        <v>968</v>
      </c>
      <c r="E206" s="19" t="s">
        <v>1139</v>
      </c>
      <c r="F206" s="19" t="s">
        <v>1140</v>
      </c>
      <c r="G206" s="19" t="s">
        <v>1048</v>
      </c>
      <c r="H206" s="19" t="s">
        <v>1141</v>
      </c>
      <c r="I206" s="19" t="s">
        <v>1142</v>
      </c>
      <c r="J206" s="19" t="n">
        <v>1</v>
      </c>
      <c r="K206" s="19" t="n">
        <v>1</v>
      </c>
      <c r="L206" s="19" t="s">
        <v>1143</v>
      </c>
      <c r="M206" s="19"/>
      <c r="N206" s="19" t="s">
        <v>61</v>
      </c>
    </row>
    <row r="207" customFormat="false" ht="34.5" hidden="false" customHeight="true" outlineLevel="0" collapsed="false">
      <c r="A207" s="19" t="s">
        <v>1144</v>
      </c>
      <c r="B207" s="19" t="s">
        <v>36</v>
      </c>
      <c r="C207" s="19" t="s">
        <v>1041</v>
      </c>
      <c r="D207" s="19" t="s">
        <v>968</v>
      </c>
      <c r="E207" s="19" t="s">
        <v>1145</v>
      </c>
      <c r="F207" s="19"/>
      <c r="G207" s="19" t="s">
        <v>1048</v>
      </c>
      <c r="H207" s="19" t="s">
        <v>1146</v>
      </c>
      <c r="I207" s="19" t="s">
        <v>1147</v>
      </c>
      <c r="J207" s="19" t="n">
        <v>1</v>
      </c>
      <c r="K207" s="19" t="n">
        <v>4</v>
      </c>
      <c r="L207" s="19" t="s">
        <v>1148</v>
      </c>
      <c r="M207" s="19"/>
      <c r="N207" s="19" t="s">
        <v>61</v>
      </c>
    </row>
  </sheetData>
  <autoFilter ref="A1:N207"/>
  <dataValidations count="1">
    <dataValidation allowBlank="true" errorStyle="stop" operator="between" showDropDown="false" showErrorMessage="false" showInputMessage="false" sqref="N2:N207" type="list">
      <formula1>"Aprobado,Fallido,Omitido,Pendiente"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2026-10-30T18:27:15Z</dcterms:created>
  <dc:creator>openpyxl</dc:creator>
  <dc:description/>
  <dc:language>en-US</dc:language>
  <cp:lastModifiedBy/>
  <dcterms:modified xsi:type="dcterms:W3CDTF">2026-10-31T00:52:51Z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