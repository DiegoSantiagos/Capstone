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Instrucciones" sheetId="2" state="visible" r:id="rId4"/>
    <sheet name="Product Backlog" sheetId="3" state="visible" r:id="rId5"/>
    <sheet name="Sprint Backlog" sheetId="4" state="visible" r:id="rId6"/>
    <sheet name="Sprints" sheetId="5" state="visible" r:id="rId7"/>
  </sheets>
  <definedNames>
    <definedName function="false" hidden="true" localSheetId="2" name="_xlnm._FilterDatabase" vbProcedure="false">'Product Backlog'!$A$1:$J$25</definedName>
    <definedName function="false" hidden="true" localSheetId="3" name="_xlnm._FilterDatabase" vbProcedure="false">'Sprint Backlog'!$A$1:$G$47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<sst xmlns="http://schemas.openxmlformats.org/spreadsheetml/2006/main" count="503" uniqueCount="275">
  <si>
    <t xml:space="preserve">Backlog Scrum</t>
  </si>
  <si>
    <t xml:space="preserve">Product Backlog y Sprint Backlog</t>
  </si>
  <si>
    <t xml:space="preserve">Acredittia</t>
  </si>
  <si>
    <t xml:space="preserve">Revisión: 1.0</t>
  </si>
  <si>
    <t xml:space="preserve">30/10/2026</t>
  </si>
  <si>
    <t xml:space="preserve">Contenido del libro</t>
  </si>
  <si>
    <t xml:space="preserve">Instrucciones</t>
  </si>
  <si>
    <t xml:space="preserve">Origen de los datos y celdas a completar</t>
  </si>
  <si>
    <t xml:space="preserve">Product Backlog</t>
  </si>
  <si>
    <t xml:space="preserve">24 historias de usuario con prioridad MoSCoW</t>
  </si>
  <si>
    <t xml:space="preserve">Sprint Backlog</t>
  </si>
  <si>
    <t xml:space="preserve">46 tareas por sprint con responsable y estado</t>
  </si>
  <si>
    <t xml:space="preserve">Sprints</t>
  </si>
  <si>
    <t xml:space="preserve">Resumen y avance por sprint</t>
  </si>
  <si>
    <t xml:space="preserve">Ficha del documento</t>
  </si>
  <si>
    <t xml:space="preserve">Fecha</t>
  </si>
  <si>
    <t xml:space="preserve">Revisión</t>
  </si>
  <si>
    <t xml:space="preserve">Autor</t>
  </si>
  <si>
    <t xml:space="preserve">Modificación</t>
  </si>
  <si>
    <t xml:space="preserve">1.0</t>
  </si>
  <si>
    <t xml:space="preserve">Equipo Acredittia</t>
  </si>
  <si>
    <t xml:space="preserve">Creación del documento</t>
  </si>
  <si>
    <t xml:space="preserve">Escuela de Informática y Telecomunicaciones · Duoc UC</t>
  </si>
  <si>
    <t xml:space="preserve">Backlog Scrum — Acredittia</t>
  </si>
  <si>
    <t xml:space="preserve">Documentación de la metodología: Product Backlog, Sprint Backlog y resumen por sprint.</t>
  </si>
  <si>
    <t xml:space="preserve">De dónde sale cada dato</t>
  </si>
  <si>
    <t xml:space="preserve">• Historias de usuario: se derivan de los requerimientos RF/RNF del Documento de Requerimientos (IEEE 29148).</t>
  </si>
  <si>
    <t xml:space="preserve">• Sprints, fechas y objetivos: del Plan de Proyecto (sección 6, Calendarización).</t>
  </si>
  <si>
    <t xml:space="preserve">• Estado (Terminado / Parcial / Pendiente) y n.º de endpoints y casos: revisados en el código de Backend_Acredita.</t>
  </si>
  <si>
    <t xml:space="preserve">Qué deben completar o ajustar ustedes (celdas en amarillo)</t>
  </si>
  <si>
    <t xml:space="preserve">• Puntos (estimación): valores propuestos según la prioridad (Must 8 · Should 5 · Could 3). Reemplácenlos por los que estimó el equipo.</t>
  </si>
  <si>
    <t xml:space="preserve">• Responsable de cada tarea del Sprint Backlog: elijan de la lista quién la hizo.</t>
  </si>
  <si>
    <t xml:space="preserve">Ejemplo de fila completa (Sprint Backlog): Sprint 1 · HU-02 · Implementar API de Autenticación · 8 endpoints · Responsable: Diego Santiagos · Terminado</t>
  </si>
  <si>
    <t xml:space="preserve">ID</t>
  </si>
  <si>
    <t xml:space="preserve">Épica</t>
  </si>
  <si>
    <t xml:space="preserve">Requisito</t>
  </si>
  <si>
    <t xml:space="preserve">Historia de usuario</t>
  </si>
  <si>
    <t xml:space="preserve">Criterios de aceptación</t>
  </si>
  <si>
    <t xml:space="preserve">Prioridad (MoSCoW)</t>
  </si>
  <si>
    <t xml:space="preserve">Puntos (estimación)</t>
  </si>
  <si>
    <t xml:space="preserve">Sprint</t>
  </si>
  <si>
    <t xml:space="preserve">Estado</t>
  </si>
  <si>
    <t xml:space="preserve">Observaciones</t>
  </si>
  <si>
    <t xml:space="preserve">HU-01</t>
  </si>
  <si>
    <t xml:space="preserve">EP-01 Infraestructura</t>
  </si>
  <si>
    <t xml:space="preserve">RNF-12</t>
  </si>
  <si>
    <t xml:space="preserve">Como equipo de desarrollo quiero un entorno reproducible con Docker y un job de migración del esquema para levantar la plataforma igual en local y en la nube</t>
  </si>
  <si>
    <t xml:space="preserve">docker compose levanta db, migrate, api, worker, beat y web; la API verifica la versión de esquema al arrancar</t>
  </si>
  <si>
    <t xml:space="preserve">Must</t>
  </si>
  <si>
    <t xml:space="preserve">Sprint 1</t>
  </si>
  <si>
    <t xml:space="preserve">Terminado</t>
  </si>
  <si>
    <t xml:space="preserve">HU-02</t>
  </si>
  <si>
    <t xml:space="preserve">EP-02 Auth y cuentas</t>
  </si>
  <si>
    <t xml:space="preserve">RF-01</t>
  </si>
  <si>
    <t xml:space="preserve">Como empresa contratista quiero registrarme con mi RUT para solicitar acceso a la plataforma</t>
  </si>
  <si>
    <t xml:space="preserve">RUT validado; email y RUT únicos; la cuenta queda pendiente de aprobación</t>
  </si>
  <si>
    <t xml:space="preserve">HU-03</t>
  </si>
  <si>
    <t xml:space="preserve">RF-02</t>
  </si>
  <si>
    <t xml:space="preserve">Como administrador quiero aprobar o rechazar solicitudes de empresas para controlar quién opera en la plataforma</t>
  </si>
  <si>
    <t xml:space="preserve">Solo admin aprueba o rechaza; una cuenta pendiente no puede iniciar sesión</t>
  </si>
  <si>
    <t xml:space="preserve">HU-04</t>
  </si>
  <si>
    <t xml:space="preserve">RF-03 / RNF-03</t>
  </si>
  <si>
    <t xml:space="preserve">Como usuario quiero iniciar sesión de forma segura y mantener mi sesión para trabajar sin reingresar mis datos</t>
  </si>
  <si>
    <t xml:space="preserve">JWT con refresh token revocable; contraseñas con Argon2; el reset revoca todas las sesiones</t>
  </si>
  <si>
    <t xml:space="preserve">HU-05</t>
  </si>
  <si>
    <t xml:space="preserve">RF-04</t>
  </si>
  <si>
    <t xml:space="preserve">Como empresa quiero invitar usuarios internos y administradores de contrato para delegar la gestión</t>
  </si>
  <si>
    <t xml:space="preserve">Roles company y contract_admin; un contract_admin solo ve su contrato</t>
  </si>
  <si>
    <t xml:space="preserve">Should</t>
  </si>
  <si>
    <t xml:space="preserve">Parcial</t>
  </si>
  <si>
    <t xml:space="preserve">Endpoints listos; falta enviar el correo de invitación (SMTP)</t>
  </si>
  <si>
    <t xml:space="preserve">HU-06</t>
  </si>
  <si>
    <t xml:space="preserve">EP-03 Catálogos maestros</t>
  </si>
  <si>
    <t xml:space="preserve">RF-05</t>
  </si>
  <si>
    <t xml:space="preserve">Como administrador quiero mantener el catálogo de faenas, plataformas y plantillas de requisitos para estandarizar las acreditaciones</t>
  </si>
  <si>
    <t xml:space="preserve">CRUD de faenas, cargos, plataformas y plantillas maestras</t>
  </si>
  <si>
    <t xml:space="preserve">Sprint 2</t>
  </si>
  <si>
    <t xml:space="preserve">HU-07</t>
  </si>
  <si>
    <t xml:space="preserve">EP-04 Contratos</t>
  </si>
  <si>
    <t xml:space="preserve">RF-06 / RN-04</t>
  </si>
  <si>
    <t xml:space="preserve">Como empresa quiero crear contratos por faena y que el sistema genere el checklist documental automáticamente</t>
  </si>
  <si>
    <t xml:space="preserve">Al crear un contrato se instancian los 10 requisitos de empresa</t>
  </si>
  <si>
    <t xml:space="preserve">HU-08</t>
  </si>
  <si>
    <t xml:space="preserve">RF-07</t>
  </si>
  <si>
    <t xml:space="preserve">Como empresa quiero que el contrato herede las plataformas de acreditación de la faena para no configurarlas a mano</t>
  </si>
  <si>
    <t xml:space="preserve">El contrato hereda las plataformas de la faena y permite ajustarlas</t>
  </si>
  <si>
    <t xml:space="preserve">HU-09</t>
  </si>
  <si>
    <t xml:space="preserve">RF-09 / RN-06</t>
  </si>
  <si>
    <t xml:space="preserve">Como empresa quiero agregar requisitos propios y ver la matriz de cumplimiento del contrato</t>
  </si>
  <si>
    <t xml:space="preserve">Requisitos custom sin duplicados; los requisitos base no se pueden borrar</t>
  </si>
  <si>
    <t xml:space="preserve">HU-10</t>
  </si>
  <si>
    <t xml:space="preserve">EP-05 Personal y equipos</t>
  </si>
  <si>
    <t xml:space="preserve">RF-10</t>
  </si>
  <si>
    <t xml:space="preserve">Como empresa quiero dar de alta trabajadores y equipos y que se generen sus requisitos según el cargo</t>
  </si>
  <si>
    <t xml:space="preserve">13 requisitos de personal, 10 de equipo y 9 EMSIPOR para conductores; baja lógica</t>
  </si>
  <si>
    <t xml:space="preserve">HU-11</t>
  </si>
  <si>
    <t xml:space="preserve">RF-11</t>
  </si>
  <si>
    <t xml:space="preserve">Como empresa quiero ver a cada persona y equipo consolidado por RUT o patente para saber su estado en todos los contratos</t>
  </si>
  <si>
    <t xml:space="preserve">Vistas /personas y /flota agrupadas</t>
  </si>
  <si>
    <t xml:space="preserve">Could</t>
  </si>
  <si>
    <t xml:space="preserve">HU-12</t>
  </si>
  <si>
    <t xml:space="preserve">EP-06 Gestión documental</t>
  </si>
  <si>
    <t xml:space="preserve">RF-12 / RN-03</t>
  </si>
  <si>
    <t xml:space="preserve">Como empresa quiero subir y descargar documentos directamente a Azure Blob Storage para no pasar archivos por la API</t>
  </si>
  <si>
    <t xml:space="preserve">URLs SAS de subida y descarga con expiración; cada documento pertenece a un solo sujeto o contrato</t>
  </si>
  <si>
    <t xml:space="preserve">Sprint 3</t>
  </si>
  <si>
    <t xml:space="preserve">HU-13</t>
  </si>
  <si>
    <t xml:space="preserve">EP-07 Vencimientos y alertas</t>
  </si>
  <si>
    <t xml:space="preserve">RF-13 / RN-02</t>
  </si>
  <si>
    <t xml:space="preserve">Como empresa quiero que el sistema recalcule vencimientos a diario y me alerte para no perder acreditaciones</t>
  </si>
  <si>
    <t xml:space="preserve">Cron diario ok → por vencer → vencido; bandeja de alertas</t>
  </si>
  <si>
    <t xml:space="preserve">HU-14</t>
  </si>
  <si>
    <t xml:space="preserve">EP-08 Revisión IA</t>
  </si>
  <si>
    <t xml:space="preserve">RF-14</t>
  </si>
  <si>
    <t xml:space="preserve">Como empresa quiero que cada documento subido se revise con IA para detectar errores antes de enviarlo al mandante</t>
  </si>
  <si>
    <t xml:space="preserve">Job asíncrono; hallazgos clasificados como error, warning o info</t>
  </si>
  <si>
    <t xml:space="preserve">Sprint 4</t>
  </si>
  <si>
    <t xml:space="preserve">Modo simulado en desarrollo; modo real con LLM</t>
  </si>
  <si>
    <t xml:space="preserve">HU-15</t>
  </si>
  <si>
    <t xml:space="preserve">RF-15</t>
  </si>
  <si>
    <t xml:space="preserve">Como empresa quiero que la IA lea contratos, cédulas y padrones para pre-llenar los formularios</t>
  </si>
  <si>
    <t xml:space="preserve">Extracción de contrato, sujeto y carpeta de arranque</t>
  </si>
  <si>
    <t xml:space="preserve">HU-16</t>
  </si>
  <si>
    <t xml:space="preserve">EP-09 EMSIPOR / LIM</t>
  </si>
  <si>
    <t xml:space="preserve">RF-16</t>
  </si>
  <si>
    <t xml:space="preserve">Como empresa quiero gestionar la licencia interna de mina y el expediente EMSIPOR de mis conductores</t>
  </si>
  <si>
    <t xml:space="preserve">Checklist de 9 documentos; número y vencimiento de la licencia</t>
  </si>
  <si>
    <t xml:space="preserve">HU-17</t>
  </si>
  <si>
    <t xml:space="preserve">EP-10 Dashboard y calendario</t>
  </si>
  <si>
    <t xml:space="preserve">RF-17</t>
  </si>
  <si>
    <t xml:space="preserve">Como empresa quiero ver KPIs, tendencia y un calendario de vencimientos para priorizar el trabajo</t>
  </si>
  <si>
    <t xml:space="preserve">Dashboard, cumplimiento por contrato, tendencia histórica y calendario</t>
  </si>
  <si>
    <t xml:space="preserve">HU-18</t>
  </si>
  <si>
    <t xml:space="preserve">EP-11 Reportes y avisos</t>
  </si>
  <si>
    <t xml:space="preserve">RF-18</t>
  </si>
  <si>
    <t xml:space="preserve">Como empresa quiero generar reportes PDF/Excel y recibir avisos por email y WhatsApp</t>
  </si>
  <si>
    <t xml:space="preserve">Reportes asíncronos y programados; preferencias de notificación</t>
  </si>
  <si>
    <t xml:space="preserve">Sprint 5</t>
  </si>
  <si>
    <t xml:space="preserve">Reportes listos; falta el envío real de email/WhatsApp</t>
  </si>
  <si>
    <t xml:space="preserve">HU-19</t>
  </si>
  <si>
    <t xml:space="preserve">EP-12 Integraciones</t>
  </si>
  <si>
    <t xml:space="preserve">RF-19</t>
  </si>
  <si>
    <t xml:space="preserve">Como empresa quiero sincronizar mis documentos con las plataformas del mandante (SIGA, Workmate…)</t>
  </si>
  <si>
    <t xml:space="preserve">Conectar, sincronizar y ver logs de cada integración</t>
  </si>
  <si>
    <t xml:space="preserve">Endpoints listos; falta guardar el secreto en Key Vault y el conector SIGA real</t>
  </si>
  <si>
    <t xml:space="preserve">HU-20</t>
  </si>
  <si>
    <t xml:space="preserve">RF-08</t>
  </si>
  <si>
    <t xml:space="preserve">Como empresa quiero guardar mis credenciales de las plataformas del mandante cifradas para que nadie más pueda leerlas</t>
  </si>
  <si>
    <t xml:space="preserve">Cifrado JWE RSA-OAEP-256 + A256GCM; rotación con historial; la API no puede leer la columna</t>
  </si>
  <si>
    <t xml:space="preserve">Sprint 6</t>
  </si>
  <si>
    <t xml:space="preserve">HU-21</t>
  </si>
  <si>
    <t xml:space="preserve">EP-13 Monetización</t>
  </si>
  <si>
    <t xml:space="preserve">RF-20 / RN-05</t>
  </si>
  <si>
    <t xml:space="preserve">Como empresa quiero contratar un plan y ver mis facturas para mantener mi suscripción al día</t>
  </si>
  <si>
    <t xml:space="preserve">Planes, suscripción, facturas y webhook de pagos</t>
  </si>
  <si>
    <t xml:space="preserve">Falta conectar la pasarela de pago (Transbank o Stripe)</t>
  </si>
  <si>
    <t xml:space="preserve">HU-22</t>
  </si>
  <si>
    <t xml:space="preserve">EP-14 Seguridad</t>
  </si>
  <si>
    <t xml:space="preserve">RNF-01 / RNF-02</t>
  </si>
  <si>
    <t xml:space="preserve">Como empresa quiero que mis datos estén aislados de otras empresas incluso ante un error de programación</t>
  </si>
  <si>
    <t xml:space="preserve">RLS con FORCE ROW LEVEL SECURITY y rol de aplicación sin BYPASSRLS; pruebas de aislamiento</t>
  </si>
  <si>
    <t xml:space="preserve">HU-23</t>
  </si>
  <si>
    <t xml:space="preserve">RNF-06</t>
  </si>
  <si>
    <t xml:space="preserve">Como administrador quiero un registro de auditoría de las acciones para tener trazabilidad</t>
  </si>
  <si>
    <t xml:space="preserve">Tabla actividad append-only; consulta por empresa y contrato</t>
  </si>
  <si>
    <t xml:space="preserve">HU-24</t>
  </si>
  <si>
    <t xml:space="preserve">EP-15 Consola Ops</t>
  </si>
  <si>
    <t xml:space="preserve">RF-21</t>
  </si>
  <si>
    <t xml:space="preserve">Como administrador interno quiero una consola de operación y métricas financieras del SaaS</t>
  </si>
  <si>
    <t xml:space="preserve">Endpoints /admin/ops de salud, procesos e indicadores</t>
  </si>
  <si>
    <t xml:space="preserve">Won't</t>
  </si>
  <si>
    <t xml:space="preserve">—</t>
  </si>
  <si>
    <t xml:space="preserve">Pendiente</t>
  </si>
  <si>
    <t xml:space="preserve">Fuera del alcance de esta versión (priorización MoSCoW)</t>
  </si>
  <si>
    <t xml:space="preserve">Historia</t>
  </si>
  <si>
    <t xml:space="preserve">Tarea</t>
  </si>
  <si>
    <t xml:space="preserve">Detalle</t>
  </si>
  <si>
    <t xml:space="preserve">Endpoints / casos</t>
  </si>
  <si>
    <t xml:space="preserve">Responsable</t>
  </si>
  <si>
    <t xml:space="preserve">Configurar docker-compose (Postgres 16, Redis, migrate, api, worker, beat, web)</t>
  </si>
  <si>
    <t xml:space="preserve">Job de migración del esquema con pg_advisory_lock (migrate/run.py)</t>
  </si>
  <si>
    <t xml:space="preserve">Implementar API de Autenticación (routers/auth.py)</t>
  </si>
  <si>
    <t xml:space="preserve">8 endpoints</t>
  </si>
  <si>
    <t xml:space="preserve">Implementar API de Administración (routers/admin.py)</t>
  </si>
  <si>
    <t xml:space="preserve">13 endpoints</t>
  </si>
  <si>
    <t xml:space="preserve">Implementar API de Empresa y usuarios (routers/company.py)</t>
  </si>
  <si>
    <t xml:space="preserve">6 endpoints</t>
  </si>
  <si>
    <t xml:space="preserve">Pruebas automatizadas: test_auth.py</t>
  </si>
  <si>
    <t xml:space="preserve">28 casos de prueba</t>
  </si>
  <si>
    <t xml:space="preserve">Frontend: login y layout con menú lateral</t>
  </si>
  <si>
    <t xml:space="preserve">Implementar API de Faenas (routers/faenas.py)</t>
  </si>
  <si>
    <t xml:space="preserve">12 endpoints</t>
  </si>
  <si>
    <t xml:space="preserve">Implementar API de Cargos (routers/cargos.py)</t>
  </si>
  <si>
    <t xml:space="preserve">9 endpoints</t>
  </si>
  <si>
    <t xml:space="preserve">Implementar API de Plantillas de requisitos (routers/requisitos.py)</t>
  </si>
  <si>
    <t xml:space="preserve">2 endpoints</t>
  </si>
  <si>
    <t xml:space="preserve">Implementar API de Contratos (routers/contratos.py)</t>
  </si>
  <si>
    <t xml:space="preserve">Implementar API de Plataformas del contrato (routers/plataformas.py)</t>
  </si>
  <si>
    <t xml:space="preserve">11 endpoints</t>
  </si>
  <si>
    <t xml:space="preserve">Implementar API de Checklist del contrato (routers/contrato_requisitos.py)</t>
  </si>
  <si>
    <t xml:space="preserve">7 endpoints</t>
  </si>
  <si>
    <t xml:space="preserve">Implementar API de Personal y equipos (routers/sujetos.py)</t>
  </si>
  <si>
    <t xml:space="preserve">14 endpoints</t>
  </si>
  <si>
    <t xml:space="preserve">Implementar API de Personas y flota (routers/personas.py)</t>
  </si>
  <si>
    <t xml:space="preserve">4 endpoints</t>
  </si>
  <si>
    <t xml:space="preserve">Pruebas automatizadas: test_contratos.py</t>
  </si>
  <si>
    <t xml:space="preserve">Pruebas automatizadas: test_sujetos.py</t>
  </si>
  <si>
    <t xml:space="preserve">27 casos de prueba</t>
  </si>
  <si>
    <t xml:space="preserve">Frontend: contratos, personal y equipos (listado y detalle), faenas</t>
  </si>
  <si>
    <t xml:space="preserve">Implementar API de Documentos (routers/documentos.py)</t>
  </si>
  <si>
    <t xml:space="preserve">Implementar API de Archivos SAS (routers/blobs.py)</t>
  </si>
  <si>
    <t xml:space="preserve">Implementar API de Alertas (routers/alertas.py)</t>
  </si>
  <si>
    <t xml:space="preserve">Cron diario de vencimientos (services/vencimientos.py)</t>
  </si>
  <si>
    <t xml:space="preserve">Pruebas automatizadas: test_documentos.py</t>
  </si>
  <si>
    <t xml:space="preserve">25 casos de prueba</t>
  </si>
  <si>
    <t xml:space="preserve">Frontend: alertas</t>
  </si>
  <si>
    <t xml:space="preserve">Implementar API de Revisión y extracción IA (routers/ia.py)</t>
  </si>
  <si>
    <t xml:space="preserve">Worker Celery para revisión IA (worker/celery_app.py, services/ia.py)</t>
  </si>
  <si>
    <t xml:space="preserve">Implementar API de Licencia interna EMSIPOR (routers/licencia_interna.py)</t>
  </si>
  <si>
    <t xml:space="preserve">3 endpoints</t>
  </si>
  <si>
    <t xml:space="preserve">Implementar API de Dashboard (routers/dashboard.py)</t>
  </si>
  <si>
    <t xml:space="preserve">Implementar API de Calendario (routers/calendario.py)</t>
  </si>
  <si>
    <t xml:space="preserve">Pruebas automatizadas: test_operacion.py</t>
  </si>
  <si>
    <t xml:space="preserve">37 casos de prueba</t>
  </si>
  <si>
    <t xml:space="preserve">Frontend: dashboard</t>
  </si>
  <si>
    <t xml:space="preserve">Implementar API de Reportes y exportaciones (routers/reportes.py)</t>
  </si>
  <si>
    <t xml:space="preserve">Implementar API de Preferencias de notificación (routers/notificaciones.py)</t>
  </si>
  <si>
    <t xml:space="preserve">Envío real de correo (SMTP) y WhatsApp</t>
  </si>
  <si>
    <t xml:space="preserve">Implementar API de Integraciones (routers/integraciones.py)</t>
  </si>
  <si>
    <t xml:space="preserve">Escritura del secreto en Azure Key Vault y conector SIGA</t>
  </si>
  <si>
    <t xml:space="preserve">Pruebas automatizadas: test_reportes.py</t>
  </si>
  <si>
    <t xml:space="preserve">18 casos de prueba</t>
  </si>
  <si>
    <t xml:space="preserve">Implementar API de Planes, suscripción y facturas (routers/suscripcion.py)</t>
  </si>
  <si>
    <t xml:space="preserve">Implementar API de Webhooks (pagos y WhatsApp) (routers/webhooks.py)</t>
  </si>
  <si>
    <t xml:space="preserve">Integración con pasarela de pago</t>
  </si>
  <si>
    <t xml:space="preserve">Bóveda JWE con rotación (services/crypto.py)</t>
  </si>
  <si>
    <t xml:space="preserve">Pruebas automatizadas: test_vault.py</t>
  </si>
  <si>
    <t xml:space="preserve">20 casos de prueba</t>
  </si>
  <si>
    <t xml:space="preserve">Políticas RLS y rol acredittia_app (04_rls.sql)</t>
  </si>
  <si>
    <t xml:space="preserve">Pruebas automatizadas: test_tenants.py y test_esquema.py</t>
  </si>
  <si>
    <t xml:space="preserve">23 casos de prueba</t>
  </si>
  <si>
    <t xml:space="preserve">Implementar API de Auditoría (routers/actividad.py)</t>
  </si>
  <si>
    <t xml:space="preserve">1 endpoints</t>
  </si>
  <si>
    <t xml:space="preserve">Guía de despliegue en Azure Container Apps (DESPLIEGUE_AZURE.md)</t>
  </si>
  <si>
    <t xml:space="preserve">Inicio</t>
  </si>
  <si>
    <t xml:space="preserve">Término</t>
  </si>
  <si>
    <t xml:space="preserve">Objetivo del sprint</t>
  </si>
  <si>
    <t xml:space="preserve">Historias</t>
  </si>
  <si>
    <t xml:space="preserve">Puntos comprometidos</t>
  </si>
  <si>
    <t xml:space="preserve">Tareas</t>
  </si>
  <si>
    <t xml:space="preserve">Tareas terminadas</t>
  </si>
  <si>
    <t xml:space="preserve">Avance de tareas</t>
  </si>
  <si>
    <t xml:space="preserve">03-08-2026</t>
  </si>
  <si>
    <t xml:space="preserve">14-08-2026</t>
  </si>
  <si>
    <t xml:space="preserve">Fundaciones: infraestructura, CI/CD, autenticación completa y esqueleto del frontend</t>
  </si>
  <si>
    <t xml:space="preserve">17-08-2026</t>
  </si>
  <si>
    <t xml:space="preserve">28-08-2026</t>
  </si>
  <si>
    <t xml:space="preserve">Núcleo de negocio: catálogos, contratos, alta de personal y equipos con checklists</t>
  </si>
  <si>
    <t xml:space="preserve">31-08-2026</t>
  </si>
  <si>
    <t xml:space="preserve">11-09-2026</t>
  </si>
  <si>
    <t xml:space="preserve">Ciclo documental: subida a Azure, estados, vencimientos y alertas</t>
  </si>
  <si>
    <t xml:space="preserve">14-09-2026</t>
  </si>
  <si>
    <t xml:space="preserve">25-09-2026</t>
  </si>
  <si>
    <t xml:space="preserve">Inteligencia: revisión IA de documentos, módulo LIM y dashboard con KPIs</t>
  </si>
  <si>
    <t xml:space="preserve">28-09-2026</t>
  </si>
  <si>
    <t xml:space="preserve">09-10-2026</t>
  </si>
  <si>
    <t xml:space="preserve">Salida al mundo: reportes, notificaciones (email/WhatsApp) e integración inicial SIGA</t>
  </si>
  <si>
    <t xml:space="preserve">12-10-2026</t>
  </si>
  <si>
    <t xml:space="preserve">23-10-2026</t>
  </si>
  <si>
    <t xml:space="preserve">Monetización y cierre: suscripciones, pagos y endurecimiento de seguridad</t>
  </si>
  <si>
    <t xml:space="preserve">Total</t>
  </si>
  <si>
    <t xml:space="preserve">Estabilización</t>
  </si>
  <si>
    <t xml:space="preserve">26-10-2026</t>
  </si>
  <si>
    <t xml:space="preserve">30-10-2026</t>
  </si>
  <si>
    <t xml:space="preserve">Code freeze, corrección de defectos críticos, UAT y pase a producción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</si>
</sst>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name val="Calibri"/>
      <family val="0"/>
      <charset val="1"/>
    </font>
    <font>
      <sz val="18"/>
      <name val="Calibri"/>
      <family val="0"/>
      <charset val="1"/>
    </font>
    <font>
      <i val="true"/>
      <sz val="14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366091"/>
      <name val="Calibri"/>
      <family val="0"/>
      <charset val="1"/>
    </font>
    <font>
      <sz val="10"/>
      <name val="Calibri"/>
      <family val="0"/>
      <charset val="1"/>
    </font>
    <font>
      <i val="true"/>
      <sz val="10"/>
      <name val="Calibri"/>
      <family val="0"/>
      <charset val="1"/>
    </font>
    <font>
      <sz val="9"/>
      <color rgb="FF7F7F7F"/>
      <name val="Calibri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6E6E6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6E6E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6E6E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4F81BD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E2EFDA"/>
      <rgbColor rgb="FFFFFF99"/>
      <rgbColor rgb="FF99CCFF"/>
      <rgbColor rgb="FFFF99CC"/>
      <rgbColor rgb="FFCC99FF"/>
      <rgbColor rgb="FFFCE4D6"/>
      <rgbColor rgb="FF4F81BD"/>
      <rgbColor rgb="FF33CCCC"/>
      <rgbColor rgb="FF99CC00"/>
      <rgbColor rgb="FFFFCC00"/>
      <rgbColor rgb="FFFF9900"/>
      <rgbColor rgb="FFFF6600"/>
      <rgbColor rgb="FF366091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828360</xdr:colOff>
      <xdr:row>4</xdr:row>
      <xdr:rowOff>37440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90440"/>
          <a:ext cx="259056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8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"/>
  </cols>
  <sheetData>
    <row r="8" customFormat="false" ht="29.15" hidden="false" customHeight="false" outlineLevel="0" collapsed="false">
      <c r="B8" s="1" t="s">
        <v>0</v>
      </c>
    </row>
    <row r="9" customFormat="false" ht="22.05" hidden="false" customHeight="false" outlineLevel="0" collapsed="false">
      <c r="B9" s="2" t="s">
        <v>1</v>
      </c>
    </row>
    <row r="10" customFormat="false" ht="17.35" hidden="false" customHeight="false" outlineLevel="0" collapsed="false">
      <c r="B10" s="3" t="s">
        <v>2</v>
      </c>
      <c r="C10" s="4"/>
      <c r="D10" s="4"/>
      <c r="E10" s="4"/>
    </row>
    <row r="12" customFormat="false" ht="15" hidden="false" customHeight="false" outlineLevel="0" collapsed="false">
      <c r="B12" s="5" t="s">
        <v>3</v>
      </c>
    </row>
    <row r="13" customFormat="false" ht="15" hidden="false" customHeight="false" outlineLevel="0" collapsed="false">
      <c r="B13" s="5" t="s">
        <v>4</v>
      </c>
    </row>
    <row r="15" customFormat="false" ht="15" hidden="false" customHeight="false" outlineLevel="0" collapsed="false">
      <c r="B15" s="6" t="s">
        <v>5</v>
      </c>
    </row>
    <row r="16" customFormat="false" ht="15" hidden="false" customHeight="false" outlineLevel="0" collapsed="false">
      <c r="B16" s="5" t="s">
        <v>6</v>
      </c>
      <c r="D16" s="7" t="s">
        <v>7</v>
      </c>
      <c r="E16" s="7"/>
    </row>
    <row r="17" customFormat="false" ht="15" hidden="false" customHeight="false" outlineLevel="0" collapsed="false">
      <c r="B17" s="5" t="s">
        <v>8</v>
      </c>
      <c r="D17" s="7" t="s">
        <v>9</v>
      </c>
      <c r="E17" s="7"/>
    </row>
    <row r="18" customFormat="false" ht="15" hidden="false" customHeight="false" outlineLevel="0" collapsed="false">
      <c r="B18" s="5" t="s">
        <v>10</v>
      </c>
      <c r="D18" s="7" t="s">
        <v>11</v>
      </c>
      <c r="E18" s="7"/>
    </row>
    <row r="19" customFormat="false" ht="15" hidden="false" customHeight="false" outlineLevel="0" collapsed="false">
      <c r="B19" s="5" t="s">
        <v>12</v>
      </c>
      <c r="D19" s="7" t="s">
        <v>13</v>
      </c>
      <c r="E19" s="7"/>
    </row>
    <row r="21" customFormat="false" ht="15" hidden="false" customHeight="false" outlineLevel="0" collapsed="false">
      <c r="B21" s="6" t="s">
        <v>14</v>
      </c>
    </row>
    <row r="22" customFormat="false" ht="15" hidden="false" customHeight="false" outlineLevel="0" collapsed="false">
      <c r="B22" s="8" t="s">
        <v>15</v>
      </c>
      <c r="C22" s="8" t="s">
        <v>16</v>
      </c>
      <c r="D22" s="8" t="s">
        <v>17</v>
      </c>
      <c r="E22" s="8" t="s">
        <v>18</v>
      </c>
    </row>
    <row r="23" customFormat="false" ht="15" hidden="false" customHeight="false" outlineLevel="0" collapsed="false">
      <c r="B23" s="9" t="s">
        <v>4</v>
      </c>
      <c r="C23" s="9" t="s">
        <v>19</v>
      </c>
      <c r="D23" s="9" t="s">
        <v>20</v>
      </c>
      <c r="E23" s="9" t="s">
        <v>21</v>
      </c>
    </row>
    <row r="26" customFormat="false" ht="15" hidden="false" customHeight="false" outlineLevel="0" collapsed="false">
      <c r="B26" s="10" t="s">
        <v>22</v>
      </c>
    </row>
  </sheetData>
  <mergeCells count="4">
    <mergeCell ref="D16:E16"/>
    <mergeCell ref="D17:E17"/>
    <mergeCell ref="D18:E18"/>
    <mergeCell ref="D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120"/>
  </cols>
  <sheetData>
    <row r="1" customFormat="false" ht="17.25" hidden="false" customHeight="true" outlineLevel="0" collapsed="false">
      <c r="A1" s="12" t="s">
        <v>23</v>
      </c>
    </row>
    <row r="2" customFormat="false" ht="15" hidden="false" customHeight="true" outlineLevel="0" collapsed="false">
      <c r="A2" s="13" t="s">
        <v>24</v>
      </c>
    </row>
    <row r="3" customFormat="false" ht="15" hidden="false" customHeight="true" outlineLevel="0" collapsed="false">
      <c r="A3" s="13"/>
    </row>
    <row r="4" customFormat="false" ht="15" hidden="false" customHeight="true" outlineLevel="0" collapsed="false">
      <c r="A4" s="14" t="s">
        <v>25</v>
      </c>
    </row>
    <row r="5" customFormat="false" ht="15" hidden="false" customHeight="true" outlineLevel="0" collapsed="false">
      <c r="A5" s="13" t="s">
        <v>26</v>
      </c>
    </row>
    <row r="6" customFormat="false" ht="15" hidden="false" customHeight="true" outlineLevel="0" collapsed="false">
      <c r="A6" s="13" t="s">
        <v>27</v>
      </c>
    </row>
    <row r="7" customFormat="false" ht="15" hidden="false" customHeight="true" outlineLevel="0" collapsed="false">
      <c r="A7" s="13" t="s">
        <v>28</v>
      </c>
    </row>
    <row r="8" customFormat="false" ht="15" hidden="false" customHeight="true" outlineLevel="0" collapsed="false">
      <c r="A8" s="13"/>
    </row>
    <row r="9" customFormat="false" ht="15" hidden="false" customHeight="true" outlineLevel="0" collapsed="false">
      <c r="A9" s="14" t="s">
        <v>29</v>
      </c>
    </row>
    <row r="10" customFormat="false" ht="15" hidden="false" customHeight="true" outlineLevel="0" collapsed="false">
      <c r="A10" s="13" t="s">
        <v>30</v>
      </c>
    </row>
    <row r="11" customFormat="false" ht="15" hidden="false" customHeight="true" outlineLevel="0" collapsed="false">
      <c r="A11" s="13" t="s">
        <v>31</v>
      </c>
    </row>
    <row r="12" customFormat="false" ht="15" hidden="false" customHeight="true" outlineLevel="0" collapsed="false">
      <c r="A12" s="13"/>
    </row>
    <row r="13" customFormat="false" ht="15" hidden="false" customHeight="true" outlineLevel="0" collapsed="false">
      <c r="A13" s="1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8"/>
    <col collapsed="false" customWidth="true" hidden="false" outlineLevel="0" max="2" min="2" style="11" width="24"/>
    <col collapsed="false" customWidth="true" hidden="false" outlineLevel="0" max="3" min="3" style="11" width="15"/>
    <col collapsed="false" customWidth="true" hidden="false" outlineLevel="0" max="4" min="4" style="11" width="55"/>
    <col collapsed="false" customWidth="true" hidden="false" outlineLevel="0" max="5" min="5" style="11" width="50"/>
    <col collapsed="false" customWidth="true" hidden="false" outlineLevel="0" max="7" min="6" style="11" width="12"/>
    <col collapsed="false" customWidth="true" hidden="false" outlineLevel="0" max="8" min="8" style="11" width="10"/>
    <col collapsed="false" customWidth="true" hidden="false" outlineLevel="0" max="9" min="9" style="11" width="12"/>
    <col collapsed="false" customWidth="true" hidden="false" outlineLevel="0" max="10" min="10" style="11" width="40"/>
  </cols>
  <sheetData>
    <row r="1" customFormat="false" ht="51.75" hidden="false" customHeight="true" outlineLevel="0" collapsed="false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 t="s">
        <v>38</v>
      </c>
      <c r="G1" s="15" t="s">
        <v>39</v>
      </c>
      <c r="H1" s="15" t="s">
        <v>40</v>
      </c>
      <c r="I1" s="15" t="s">
        <v>41</v>
      </c>
      <c r="J1" s="15" t="s">
        <v>42</v>
      </c>
    </row>
    <row r="2" customFormat="false" ht="34.5" hidden="false" customHeight="true" outlineLevel="0" collapsed="false">
      <c r="A2" s="16" t="s">
        <v>43</v>
      </c>
      <c r="B2" s="16" t="s">
        <v>44</v>
      </c>
      <c r="C2" s="16" t="s">
        <v>45</v>
      </c>
      <c r="D2" s="16" t="s">
        <v>46</v>
      </c>
      <c r="E2" s="16" t="s">
        <v>47</v>
      </c>
      <c r="F2" s="16" t="s">
        <v>48</v>
      </c>
      <c r="G2" s="17" t="n">
        <v>8</v>
      </c>
      <c r="H2" s="16" t="s">
        <v>49</v>
      </c>
      <c r="I2" s="18" t="s">
        <v>50</v>
      </c>
      <c r="J2" s="16"/>
    </row>
    <row r="3" customFormat="false" ht="23.25" hidden="false" customHeight="true" outlineLevel="0" collapsed="false">
      <c r="A3" s="16" t="s">
        <v>51</v>
      </c>
      <c r="B3" s="16" t="s">
        <v>52</v>
      </c>
      <c r="C3" s="16" t="s">
        <v>53</v>
      </c>
      <c r="D3" s="16" t="s">
        <v>54</v>
      </c>
      <c r="E3" s="16" t="s">
        <v>55</v>
      </c>
      <c r="F3" s="16" t="s">
        <v>48</v>
      </c>
      <c r="G3" s="17" t="n">
        <v>8</v>
      </c>
      <c r="H3" s="16" t="s">
        <v>49</v>
      </c>
      <c r="I3" s="18" t="s">
        <v>50</v>
      </c>
      <c r="J3" s="16"/>
    </row>
    <row r="4" customFormat="false" ht="23.25" hidden="false" customHeight="true" outlineLevel="0" collapsed="false">
      <c r="A4" s="16" t="s">
        <v>56</v>
      </c>
      <c r="B4" s="16" t="s">
        <v>52</v>
      </c>
      <c r="C4" s="16" t="s">
        <v>57</v>
      </c>
      <c r="D4" s="16" t="s">
        <v>58</v>
      </c>
      <c r="E4" s="16" t="s">
        <v>59</v>
      </c>
      <c r="F4" s="16" t="s">
        <v>48</v>
      </c>
      <c r="G4" s="17" t="n">
        <v>8</v>
      </c>
      <c r="H4" s="16" t="s">
        <v>49</v>
      </c>
      <c r="I4" s="18" t="s">
        <v>50</v>
      </c>
      <c r="J4" s="16"/>
    </row>
    <row r="5" customFormat="false" ht="23.25" hidden="false" customHeight="true" outlineLevel="0" collapsed="false">
      <c r="A5" s="16" t="s">
        <v>60</v>
      </c>
      <c r="B5" s="16" t="s">
        <v>52</v>
      </c>
      <c r="C5" s="16" t="s">
        <v>61</v>
      </c>
      <c r="D5" s="16" t="s">
        <v>62</v>
      </c>
      <c r="E5" s="16" t="s">
        <v>63</v>
      </c>
      <c r="F5" s="16" t="s">
        <v>48</v>
      </c>
      <c r="G5" s="17" t="n">
        <v>8</v>
      </c>
      <c r="H5" s="16" t="s">
        <v>49</v>
      </c>
      <c r="I5" s="18" t="s">
        <v>50</v>
      </c>
      <c r="J5" s="16"/>
    </row>
    <row r="6" customFormat="false" ht="23.25" hidden="false" customHeight="true" outlineLevel="0" collapsed="false">
      <c r="A6" s="16" t="s">
        <v>64</v>
      </c>
      <c r="B6" s="16" t="s">
        <v>52</v>
      </c>
      <c r="C6" s="16" t="s">
        <v>65</v>
      </c>
      <c r="D6" s="16" t="s">
        <v>66</v>
      </c>
      <c r="E6" s="16" t="s">
        <v>67</v>
      </c>
      <c r="F6" s="16" t="s">
        <v>68</v>
      </c>
      <c r="G6" s="17" t="n">
        <v>5</v>
      </c>
      <c r="H6" s="16" t="s">
        <v>49</v>
      </c>
      <c r="I6" s="19" t="s">
        <v>69</v>
      </c>
      <c r="J6" s="16" t="s">
        <v>70</v>
      </c>
    </row>
    <row r="7" customFormat="false" ht="34.5" hidden="false" customHeight="true" outlineLevel="0" collapsed="false">
      <c r="A7" s="16" t="s">
        <v>71</v>
      </c>
      <c r="B7" s="16" t="s">
        <v>72</v>
      </c>
      <c r="C7" s="16" t="s">
        <v>73</v>
      </c>
      <c r="D7" s="16" t="s">
        <v>74</v>
      </c>
      <c r="E7" s="16" t="s">
        <v>75</v>
      </c>
      <c r="F7" s="16" t="s">
        <v>48</v>
      </c>
      <c r="G7" s="17" t="n">
        <v>8</v>
      </c>
      <c r="H7" s="16" t="s">
        <v>76</v>
      </c>
      <c r="I7" s="18" t="s">
        <v>50</v>
      </c>
      <c r="J7" s="16"/>
    </row>
    <row r="8" customFormat="false" ht="23.25" hidden="false" customHeight="true" outlineLevel="0" collapsed="false">
      <c r="A8" s="16" t="s">
        <v>77</v>
      </c>
      <c r="B8" s="16" t="s">
        <v>78</v>
      </c>
      <c r="C8" s="16" t="s">
        <v>79</v>
      </c>
      <c r="D8" s="16" t="s">
        <v>80</v>
      </c>
      <c r="E8" s="16" t="s">
        <v>81</v>
      </c>
      <c r="F8" s="16" t="s">
        <v>48</v>
      </c>
      <c r="G8" s="17" t="n">
        <v>8</v>
      </c>
      <c r="H8" s="16" t="s">
        <v>76</v>
      </c>
      <c r="I8" s="18" t="s">
        <v>50</v>
      </c>
      <c r="J8" s="16"/>
    </row>
    <row r="9" customFormat="false" ht="23.25" hidden="false" customHeight="true" outlineLevel="0" collapsed="false">
      <c r="A9" s="16" t="s">
        <v>82</v>
      </c>
      <c r="B9" s="16" t="s">
        <v>78</v>
      </c>
      <c r="C9" s="16" t="s">
        <v>83</v>
      </c>
      <c r="D9" s="16" t="s">
        <v>84</v>
      </c>
      <c r="E9" s="16" t="s">
        <v>85</v>
      </c>
      <c r="F9" s="16" t="s">
        <v>48</v>
      </c>
      <c r="G9" s="17" t="n">
        <v>8</v>
      </c>
      <c r="H9" s="16" t="s">
        <v>76</v>
      </c>
      <c r="I9" s="18" t="s">
        <v>50</v>
      </c>
      <c r="J9" s="16"/>
    </row>
    <row r="10" customFormat="false" ht="23.25" hidden="false" customHeight="true" outlineLevel="0" collapsed="false">
      <c r="A10" s="16" t="s">
        <v>86</v>
      </c>
      <c r="B10" s="16" t="s">
        <v>78</v>
      </c>
      <c r="C10" s="16" t="s">
        <v>87</v>
      </c>
      <c r="D10" s="16" t="s">
        <v>88</v>
      </c>
      <c r="E10" s="16" t="s">
        <v>89</v>
      </c>
      <c r="F10" s="16" t="s">
        <v>68</v>
      </c>
      <c r="G10" s="17" t="n">
        <v>5</v>
      </c>
      <c r="H10" s="16" t="s">
        <v>76</v>
      </c>
      <c r="I10" s="18" t="s">
        <v>50</v>
      </c>
      <c r="J10" s="16"/>
    </row>
    <row r="11" customFormat="false" ht="23.25" hidden="false" customHeight="true" outlineLevel="0" collapsed="false">
      <c r="A11" s="16" t="s">
        <v>90</v>
      </c>
      <c r="B11" s="16" t="s">
        <v>91</v>
      </c>
      <c r="C11" s="16" t="s">
        <v>92</v>
      </c>
      <c r="D11" s="16" t="s">
        <v>93</v>
      </c>
      <c r="E11" s="16" t="s">
        <v>94</v>
      </c>
      <c r="F11" s="16" t="s">
        <v>48</v>
      </c>
      <c r="G11" s="17" t="n">
        <v>8</v>
      </c>
      <c r="H11" s="16" t="s">
        <v>76</v>
      </c>
      <c r="I11" s="18" t="s">
        <v>50</v>
      </c>
      <c r="J11" s="16"/>
    </row>
    <row r="12" customFormat="false" ht="23.25" hidden="false" customHeight="true" outlineLevel="0" collapsed="false">
      <c r="A12" s="16" t="s">
        <v>95</v>
      </c>
      <c r="B12" s="16" t="s">
        <v>91</v>
      </c>
      <c r="C12" s="16" t="s">
        <v>96</v>
      </c>
      <c r="D12" s="16" t="s">
        <v>97</v>
      </c>
      <c r="E12" s="16" t="s">
        <v>98</v>
      </c>
      <c r="F12" s="16" t="s">
        <v>99</v>
      </c>
      <c r="G12" s="17" t="n">
        <v>3</v>
      </c>
      <c r="H12" s="16" t="s">
        <v>76</v>
      </c>
      <c r="I12" s="18" t="s">
        <v>50</v>
      </c>
      <c r="J12" s="16"/>
    </row>
    <row r="13" customFormat="false" ht="23.25" hidden="false" customHeight="true" outlineLevel="0" collapsed="false">
      <c r="A13" s="16" t="s">
        <v>100</v>
      </c>
      <c r="B13" s="16" t="s">
        <v>101</v>
      </c>
      <c r="C13" s="16" t="s">
        <v>102</v>
      </c>
      <c r="D13" s="16" t="s">
        <v>103</v>
      </c>
      <c r="E13" s="16" t="s">
        <v>104</v>
      </c>
      <c r="F13" s="16" t="s">
        <v>48</v>
      </c>
      <c r="G13" s="17" t="n">
        <v>8</v>
      </c>
      <c r="H13" s="16" t="s">
        <v>105</v>
      </c>
      <c r="I13" s="18" t="s">
        <v>50</v>
      </c>
      <c r="J13" s="16"/>
    </row>
    <row r="14" customFormat="false" ht="23.25" hidden="false" customHeight="true" outlineLevel="0" collapsed="false">
      <c r="A14" s="16" t="s">
        <v>106</v>
      </c>
      <c r="B14" s="16" t="s">
        <v>107</v>
      </c>
      <c r="C14" s="16" t="s">
        <v>108</v>
      </c>
      <c r="D14" s="16" t="s">
        <v>109</v>
      </c>
      <c r="E14" s="16" t="s">
        <v>110</v>
      </c>
      <c r="F14" s="16" t="s">
        <v>48</v>
      </c>
      <c r="G14" s="17" t="n">
        <v>8</v>
      </c>
      <c r="H14" s="16" t="s">
        <v>105</v>
      </c>
      <c r="I14" s="18" t="s">
        <v>50</v>
      </c>
      <c r="J14" s="16"/>
    </row>
    <row r="15" customFormat="false" ht="23.25" hidden="false" customHeight="true" outlineLevel="0" collapsed="false">
      <c r="A15" s="16" t="s">
        <v>111</v>
      </c>
      <c r="B15" s="16" t="s">
        <v>112</v>
      </c>
      <c r="C15" s="16" t="s">
        <v>113</v>
      </c>
      <c r="D15" s="16" t="s">
        <v>114</v>
      </c>
      <c r="E15" s="16" t="s">
        <v>115</v>
      </c>
      <c r="F15" s="16" t="s">
        <v>48</v>
      </c>
      <c r="G15" s="17" t="n">
        <v>8</v>
      </c>
      <c r="H15" s="16" t="s">
        <v>116</v>
      </c>
      <c r="I15" s="18" t="s">
        <v>50</v>
      </c>
      <c r="J15" s="16" t="s">
        <v>117</v>
      </c>
    </row>
    <row r="16" customFormat="false" ht="23.25" hidden="false" customHeight="true" outlineLevel="0" collapsed="false">
      <c r="A16" s="16" t="s">
        <v>118</v>
      </c>
      <c r="B16" s="16" t="s">
        <v>112</v>
      </c>
      <c r="C16" s="16" t="s">
        <v>119</v>
      </c>
      <c r="D16" s="16" t="s">
        <v>120</v>
      </c>
      <c r="E16" s="16" t="s">
        <v>121</v>
      </c>
      <c r="F16" s="16" t="s">
        <v>68</v>
      </c>
      <c r="G16" s="17" t="n">
        <v>5</v>
      </c>
      <c r="H16" s="16" t="s">
        <v>116</v>
      </c>
      <c r="I16" s="18" t="s">
        <v>50</v>
      </c>
      <c r="J16" s="16"/>
    </row>
    <row r="17" customFormat="false" ht="23.25" hidden="false" customHeight="true" outlineLevel="0" collapsed="false">
      <c r="A17" s="16" t="s">
        <v>122</v>
      </c>
      <c r="B17" s="16" t="s">
        <v>123</v>
      </c>
      <c r="C17" s="16" t="s">
        <v>124</v>
      </c>
      <c r="D17" s="16" t="s">
        <v>125</v>
      </c>
      <c r="E17" s="16" t="s">
        <v>126</v>
      </c>
      <c r="F17" s="16" t="s">
        <v>48</v>
      </c>
      <c r="G17" s="17" t="n">
        <v>8</v>
      </c>
      <c r="H17" s="16" t="s">
        <v>116</v>
      </c>
      <c r="I17" s="18" t="s">
        <v>50</v>
      </c>
      <c r="J17" s="16"/>
    </row>
    <row r="18" customFormat="false" ht="23.25" hidden="false" customHeight="true" outlineLevel="0" collapsed="false">
      <c r="A18" s="16" t="s">
        <v>127</v>
      </c>
      <c r="B18" s="16" t="s">
        <v>128</v>
      </c>
      <c r="C18" s="16" t="s">
        <v>129</v>
      </c>
      <c r="D18" s="16" t="s">
        <v>130</v>
      </c>
      <c r="E18" s="16" t="s">
        <v>131</v>
      </c>
      <c r="F18" s="16" t="s">
        <v>48</v>
      </c>
      <c r="G18" s="17" t="n">
        <v>8</v>
      </c>
      <c r="H18" s="16" t="s">
        <v>116</v>
      </c>
      <c r="I18" s="18" t="s">
        <v>50</v>
      </c>
      <c r="J18" s="16"/>
    </row>
    <row r="19" customFormat="false" ht="23.25" hidden="false" customHeight="true" outlineLevel="0" collapsed="false">
      <c r="A19" s="16" t="s">
        <v>132</v>
      </c>
      <c r="B19" s="16" t="s">
        <v>133</v>
      </c>
      <c r="C19" s="16" t="s">
        <v>134</v>
      </c>
      <c r="D19" s="16" t="s">
        <v>135</v>
      </c>
      <c r="E19" s="16" t="s">
        <v>136</v>
      </c>
      <c r="F19" s="16" t="s">
        <v>68</v>
      </c>
      <c r="G19" s="17" t="n">
        <v>5</v>
      </c>
      <c r="H19" s="16" t="s">
        <v>137</v>
      </c>
      <c r="I19" s="19" t="s">
        <v>69</v>
      </c>
      <c r="J19" s="16" t="s">
        <v>138</v>
      </c>
    </row>
    <row r="20" customFormat="false" ht="23.25" hidden="false" customHeight="true" outlineLevel="0" collapsed="false">
      <c r="A20" s="16" t="s">
        <v>139</v>
      </c>
      <c r="B20" s="16" t="s">
        <v>140</v>
      </c>
      <c r="C20" s="16" t="s">
        <v>141</v>
      </c>
      <c r="D20" s="16" t="s">
        <v>142</v>
      </c>
      <c r="E20" s="16" t="s">
        <v>143</v>
      </c>
      <c r="F20" s="16" t="s">
        <v>99</v>
      </c>
      <c r="G20" s="17" t="n">
        <v>3</v>
      </c>
      <c r="H20" s="16" t="s">
        <v>137</v>
      </c>
      <c r="I20" s="19" t="s">
        <v>69</v>
      </c>
      <c r="J20" s="16" t="s">
        <v>144</v>
      </c>
    </row>
    <row r="21" customFormat="false" ht="23.25" hidden="false" customHeight="true" outlineLevel="0" collapsed="false">
      <c r="A21" s="16" t="s">
        <v>145</v>
      </c>
      <c r="B21" s="16" t="s">
        <v>78</v>
      </c>
      <c r="C21" s="16" t="s">
        <v>146</v>
      </c>
      <c r="D21" s="16" t="s">
        <v>147</v>
      </c>
      <c r="E21" s="16" t="s">
        <v>148</v>
      </c>
      <c r="F21" s="16" t="s">
        <v>48</v>
      </c>
      <c r="G21" s="17" t="n">
        <v>8</v>
      </c>
      <c r="H21" s="16" t="s">
        <v>149</v>
      </c>
      <c r="I21" s="18" t="s">
        <v>50</v>
      </c>
      <c r="J21" s="16"/>
    </row>
    <row r="22" customFormat="false" ht="23.25" hidden="false" customHeight="true" outlineLevel="0" collapsed="false">
      <c r="A22" s="16" t="s">
        <v>150</v>
      </c>
      <c r="B22" s="16" t="s">
        <v>151</v>
      </c>
      <c r="C22" s="16" t="s">
        <v>152</v>
      </c>
      <c r="D22" s="16" t="s">
        <v>153</v>
      </c>
      <c r="E22" s="16" t="s">
        <v>154</v>
      </c>
      <c r="F22" s="16" t="s">
        <v>68</v>
      </c>
      <c r="G22" s="17" t="n">
        <v>5</v>
      </c>
      <c r="H22" s="16" t="s">
        <v>149</v>
      </c>
      <c r="I22" s="19" t="s">
        <v>69</v>
      </c>
      <c r="J22" s="16" t="s">
        <v>155</v>
      </c>
    </row>
    <row r="23" customFormat="false" ht="23.25" hidden="false" customHeight="true" outlineLevel="0" collapsed="false">
      <c r="A23" s="16" t="s">
        <v>156</v>
      </c>
      <c r="B23" s="16" t="s">
        <v>157</v>
      </c>
      <c r="C23" s="16" t="s">
        <v>158</v>
      </c>
      <c r="D23" s="16" t="s">
        <v>159</v>
      </c>
      <c r="E23" s="16" t="s">
        <v>160</v>
      </c>
      <c r="F23" s="16" t="s">
        <v>48</v>
      </c>
      <c r="G23" s="17" t="n">
        <v>8</v>
      </c>
      <c r="H23" s="16" t="s">
        <v>149</v>
      </c>
      <c r="I23" s="18" t="s">
        <v>50</v>
      </c>
      <c r="J23" s="16"/>
    </row>
    <row r="24" customFormat="false" ht="23.25" hidden="false" customHeight="true" outlineLevel="0" collapsed="false">
      <c r="A24" s="16" t="s">
        <v>161</v>
      </c>
      <c r="B24" s="16" t="s">
        <v>157</v>
      </c>
      <c r="C24" s="16" t="s">
        <v>162</v>
      </c>
      <c r="D24" s="16" t="s">
        <v>163</v>
      </c>
      <c r="E24" s="16" t="s">
        <v>164</v>
      </c>
      <c r="F24" s="16" t="s">
        <v>68</v>
      </c>
      <c r="G24" s="17" t="n">
        <v>5</v>
      </c>
      <c r="H24" s="16" t="s">
        <v>149</v>
      </c>
      <c r="I24" s="18" t="s">
        <v>50</v>
      </c>
      <c r="J24" s="16"/>
    </row>
    <row r="25" customFormat="false" ht="23.25" hidden="false" customHeight="true" outlineLevel="0" collapsed="false">
      <c r="A25" s="16" t="s">
        <v>165</v>
      </c>
      <c r="B25" s="16" t="s">
        <v>166</v>
      </c>
      <c r="C25" s="16" t="s">
        <v>167</v>
      </c>
      <c r="D25" s="16" t="s">
        <v>168</v>
      </c>
      <c r="E25" s="16" t="s">
        <v>169</v>
      </c>
      <c r="F25" s="16" t="s">
        <v>170</v>
      </c>
      <c r="G25" s="17" t="n">
        <v>8</v>
      </c>
      <c r="H25" s="16" t="s">
        <v>171</v>
      </c>
      <c r="I25" s="20" t="s">
        <v>172</v>
      </c>
      <c r="J25" s="16" t="s">
        <v>173</v>
      </c>
    </row>
  </sheetData>
  <autoFilter ref="A1:J25"/>
  <dataValidations count="1">
    <dataValidation allowBlank="false" errorStyle="stop" operator="between" showDropDown="false" showErrorMessage="false" showInputMessage="false" sqref="I2:I25" type="list">
      <formula1>"Terminado,Parcial,Pendiente"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10"/>
    <col collapsed="false" customWidth="true" hidden="false" outlineLevel="0" max="2" min="2" style="11" width="9"/>
    <col collapsed="false" customWidth="true" hidden="false" outlineLevel="0" max="3" min="3" style="11" width="60"/>
    <col collapsed="false" customWidth="true" hidden="false" outlineLevel="0" max="4" min="4" style="11" width="22"/>
    <col collapsed="false" customWidth="true" hidden="false" outlineLevel="0" max="5" min="5" style="11" width="14"/>
    <col collapsed="false" customWidth="true" hidden="false" outlineLevel="0" max="6" min="6" style="11" width="22"/>
    <col collapsed="false" customWidth="true" hidden="false" outlineLevel="0" max="7" min="7" style="11" width="12"/>
  </cols>
  <sheetData>
    <row r="1" customFormat="false" ht="26.25" hidden="false" customHeight="true" outlineLevel="0" collapsed="false">
      <c r="A1" s="15" t="s">
        <v>40</v>
      </c>
      <c r="B1" s="15" t="s">
        <v>174</v>
      </c>
      <c r="C1" s="15" t="s">
        <v>175</v>
      </c>
      <c r="D1" s="15" t="s">
        <v>176</v>
      </c>
      <c r="E1" s="15" t="s">
        <v>177</v>
      </c>
      <c r="F1" s="15" t="s">
        <v>178</v>
      </c>
      <c r="G1" s="15" t="s">
        <v>41</v>
      </c>
    </row>
    <row r="2" customFormat="false" ht="23.25" hidden="false" customHeight="true" outlineLevel="0" collapsed="false">
      <c r="A2" s="16" t="s">
        <v>49</v>
      </c>
      <c r="B2" s="16" t="s">
        <v>43</v>
      </c>
      <c r="C2" s="16" t="s">
        <v>179</v>
      </c>
      <c r="D2" s="16"/>
      <c r="E2" s="16"/>
      <c r="F2" s="17"/>
      <c r="G2" s="18" t="s">
        <v>50</v>
      </c>
    </row>
    <row r="3" customFormat="false" ht="15" hidden="false" customHeight="true" outlineLevel="0" collapsed="false">
      <c r="A3" s="16" t="s">
        <v>49</v>
      </c>
      <c r="B3" s="16" t="s">
        <v>43</v>
      </c>
      <c r="C3" s="16" t="s">
        <v>180</v>
      </c>
      <c r="D3" s="16"/>
      <c r="E3" s="16"/>
      <c r="F3" s="17"/>
      <c r="G3" s="18" t="s">
        <v>50</v>
      </c>
    </row>
    <row r="4" customFormat="false" ht="15" hidden="false" customHeight="true" outlineLevel="0" collapsed="false">
      <c r="A4" s="16" t="s">
        <v>49</v>
      </c>
      <c r="B4" s="16" t="s">
        <v>51</v>
      </c>
      <c r="C4" s="16" t="s">
        <v>181</v>
      </c>
      <c r="D4" s="16" t="s">
        <v>182</v>
      </c>
      <c r="E4" s="16" t="n">
        <v>8</v>
      </c>
      <c r="F4" s="17"/>
      <c r="G4" s="18" t="s">
        <v>50</v>
      </c>
    </row>
    <row r="5" customFormat="false" ht="15" hidden="false" customHeight="true" outlineLevel="0" collapsed="false">
      <c r="A5" s="16" t="s">
        <v>49</v>
      </c>
      <c r="B5" s="16" t="s">
        <v>56</v>
      </c>
      <c r="C5" s="16" t="s">
        <v>183</v>
      </c>
      <c r="D5" s="16" t="s">
        <v>184</v>
      </c>
      <c r="E5" s="16" t="n">
        <v>13</v>
      </c>
      <c r="F5" s="17"/>
      <c r="G5" s="18" t="s">
        <v>50</v>
      </c>
    </row>
    <row r="6" customFormat="false" ht="15" hidden="false" customHeight="true" outlineLevel="0" collapsed="false">
      <c r="A6" s="16" t="s">
        <v>49</v>
      </c>
      <c r="B6" s="16" t="s">
        <v>64</v>
      </c>
      <c r="C6" s="16" t="s">
        <v>185</v>
      </c>
      <c r="D6" s="16" t="s">
        <v>186</v>
      </c>
      <c r="E6" s="16" t="n">
        <v>6</v>
      </c>
      <c r="F6" s="17"/>
      <c r="G6" s="19" t="s">
        <v>69</v>
      </c>
    </row>
    <row r="7" customFormat="false" ht="15" hidden="false" customHeight="true" outlineLevel="0" collapsed="false">
      <c r="A7" s="16" t="s">
        <v>49</v>
      </c>
      <c r="B7" s="16" t="s">
        <v>60</v>
      </c>
      <c r="C7" s="16" t="s">
        <v>187</v>
      </c>
      <c r="D7" s="16" t="s">
        <v>188</v>
      </c>
      <c r="E7" s="16" t="n">
        <v>28</v>
      </c>
      <c r="F7" s="17"/>
      <c r="G7" s="18" t="s">
        <v>50</v>
      </c>
    </row>
    <row r="8" customFormat="false" ht="15" hidden="false" customHeight="true" outlineLevel="0" collapsed="false">
      <c r="A8" s="16" t="s">
        <v>49</v>
      </c>
      <c r="B8" s="16" t="s">
        <v>43</v>
      </c>
      <c r="C8" s="16" t="s">
        <v>189</v>
      </c>
      <c r="D8" s="16"/>
      <c r="E8" s="16"/>
      <c r="F8" s="17"/>
      <c r="G8" s="18" t="s">
        <v>50</v>
      </c>
    </row>
    <row r="9" customFormat="false" ht="15" hidden="false" customHeight="true" outlineLevel="0" collapsed="false">
      <c r="A9" s="16" t="s">
        <v>76</v>
      </c>
      <c r="B9" s="16" t="s">
        <v>71</v>
      </c>
      <c r="C9" s="16" t="s">
        <v>190</v>
      </c>
      <c r="D9" s="16" t="s">
        <v>191</v>
      </c>
      <c r="E9" s="16" t="n">
        <v>12</v>
      </c>
      <c r="F9" s="17"/>
      <c r="G9" s="18" t="s">
        <v>50</v>
      </c>
    </row>
    <row r="10" customFormat="false" ht="15" hidden="false" customHeight="true" outlineLevel="0" collapsed="false">
      <c r="A10" s="16" t="s">
        <v>76</v>
      </c>
      <c r="B10" s="16" t="s">
        <v>71</v>
      </c>
      <c r="C10" s="16" t="s">
        <v>192</v>
      </c>
      <c r="D10" s="16" t="s">
        <v>193</v>
      </c>
      <c r="E10" s="16" t="n">
        <v>9</v>
      </c>
      <c r="F10" s="17"/>
      <c r="G10" s="18" t="s">
        <v>50</v>
      </c>
    </row>
    <row r="11" customFormat="false" ht="15" hidden="false" customHeight="true" outlineLevel="0" collapsed="false">
      <c r="A11" s="16" t="s">
        <v>76</v>
      </c>
      <c r="B11" s="16" t="s">
        <v>71</v>
      </c>
      <c r="C11" s="16" t="s">
        <v>194</v>
      </c>
      <c r="D11" s="16" t="s">
        <v>195</v>
      </c>
      <c r="E11" s="16" t="n">
        <v>2</v>
      </c>
      <c r="F11" s="17"/>
      <c r="G11" s="18" t="s">
        <v>50</v>
      </c>
    </row>
    <row r="12" customFormat="false" ht="15" hidden="false" customHeight="true" outlineLevel="0" collapsed="false">
      <c r="A12" s="16" t="s">
        <v>76</v>
      </c>
      <c r="B12" s="16" t="s">
        <v>77</v>
      </c>
      <c r="C12" s="16" t="s">
        <v>196</v>
      </c>
      <c r="D12" s="16" t="s">
        <v>191</v>
      </c>
      <c r="E12" s="16" t="n">
        <v>12</v>
      </c>
      <c r="F12" s="17"/>
      <c r="G12" s="18" t="s">
        <v>50</v>
      </c>
    </row>
    <row r="13" customFormat="false" ht="15" hidden="false" customHeight="true" outlineLevel="0" collapsed="false">
      <c r="A13" s="16" t="s">
        <v>76</v>
      </c>
      <c r="B13" s="16" t="s">
        <v>82</v>
      </c>
      <c r="C13" s="16" t="s">
        <v>197</v>
      </c>
      <c r="D13" s="16" t="s">
        <v>198</v>
      </c>
      <c r="E13" s="16" t="n">
        <v>11</v>
      </c>
      <c r="F13" s="17"/>
      <c r="G13" s="18" t="s">
        <v>50</v>
      </c>
    </row>
    <row r="14" customFormat="false" ht="15" hidden="false" customHeight="true" outlineLevel="0" collapsed="false">
      <c r="A14" s="16" t="s">
        <v>76</v>
      </c>
      <c r="B14" s="16" t="s">
        <v>86</v>
      </c>
      <c r="C14" s="16" t="s">
        <v>199</v>
      </c>
      <c r="D14" s="16" t="s">
        <v>200</v>
      </c>
      <c r="E14" s="16" t="n">
        <v>7</v>
      </c>
      <c r="F14" s="17"/>
      <c r="G14" s="18" t="s">
        <v>50</v>
      </c>
    </row>
    <row r="15" customFormat="false" ht="15" hidden="false" customHeight="true" outlineLevel="0" collapsed="false">
      <c r="A15" s="16" t="s">
        <v>76</v>
      </c>
      <c r="B15" s="16" t="s">
        <v>90</v>
      </c>
      <c r="C15" s="16" t="s">
        <v>201</v>
      </c>
      <c r="D15" s="16" t="s">
        <v>202</v>
      </c>
      <c r="E15" s="16" t="n">
        <v>14</v>
      </c>
      <c r="F15" s="17"/>
      <c r="G15" s="18" t="s">
        <v>50</v>
      </c>
    </row>
    <row r="16" customFormat="false" ht="15" hidden="false" customHeight="true" outlineLevel="0" collapsed="false">
      <c r="A16" s="16" t="s">
        <v>76</v>
      </c>
      <c r="B16" s="16" t="s">
        <v>95</v>
      </c>
      <c r="C16" s="16" t="s">
        <v>203</v>
      </c>
      <c r="D16" s="16" t="s">
        <v>204</v>
      </c>
      <c r="E16" s="16" t="n">
        <v>4</v>
      </c>
      <c r="F16" s="17"/>
      <c r="G16" s="18" t="s">
        <v>50</v>
      </c>
    </row>
    <row r="17" customFormat="false" ht="15" hidden="false" customHeight="true" outlineLevel="0" collapsed="false">
      <c r="A17" s="16" t="s">
        <v>76</v>
      </c>
      <c r="B17" s="16" t="s">
        <v>77</v>
      </c>
      <c r="C17" s="16" t="s">
        <v>205</v>
      </c>
      <c r="D17" s="16" t="s">
        <v>188</v>
      </c>
      <c r="E17" s="16" t="n">
        <v>28</v>
      </c>
      <c r="F17" s="17"/>
      <c r="G17" s="18" t="s">
        <v>50</v>
      </c>
    </row>
    <row r="18" customFormat="false" ht="15" hidden="false" customHeight="true" outlineLevel="0" collapsed="false">
      <c r="A18" s="16" t="s">
        <v>76</v>
      </c>
      <c r="B18" s="16" t="s">
        <v>90</v>
      </c>
      <c r="C18" s="16" t="s">
        <v>206</v>
      </c>
      <c r="D18" s="16" t="s">
        <v>207</v>
      </c>
      <c r="E18" s="16" t="n">
        <v>27</v>
      </c>
      <c r="F18" s="17"/>
      <c r="G18" s="18" t="s">
        <v>50</v>
      </c>
    </row>
    <row r="19" customFormat="false" ht="15" hidden="false" customHeight="true" outlineLevel="0" collapsed="false">
      <c r="A19" s="16" t="s">
        <v>76</v>
      </c>
      <c r="B19" s="16" t="s">
        <v>90</v>
      </c>
      <c r="C19" s="16" t="s">
        <v>208</v>
      </c>
      <c r="D19" s="16"/>
      <c r="E19" s="16"/>
      <c r="F19" s="17"/>
      <c r="G19" s="18" t="s">
        <v>50</v>
      </c>
    </row>
    <row r="20" customFormat="false" ht="15" hidden="false" customHeight="true" outlineLevel="0" collapsed="false">
      <c r="A20" s="16" t="s">
        <v>105</v>
      </c>
      <c r="B20" s="16" t="s">
        <v>100</v>
      </c>
      <c r="C20" s="16" t="s">
        <v>209</v>
      </c>
      <c r="D20" s="16" t="s">
        <v>200</v>
      </c>
      <c r="E20" s="16" t="n">
        <v>7</v>
      </c>
      <c r="F20" s="17"/>
      <c r="G20" s="18" t="s">
        <v>50</v>
      </c>
    </row>
    <row r="21" customFormat="false" ht="15" hidden="false" customHeight="true" outlineLevel="0" collapsed="false">
      <c r="A21" s="16" t="s">
        <v>105</v>
      </c>
      <c r="B21" s="16" t="s">
        <v>100</v>
      </c>
      <c r="C21" s="16" t="s">
        <v>210</v>
      </c>
      <c r="D21" s="16" t="s">
        <v>195</v>
      </c>
      <c r="E21" s="16" t="n">
        <v>2</v>
      </c>
      <c r="F21" s="17"/>
      <c r="G21" s="18" t="s">
        <v>50</v>
      </c>
    </row>
    <row r="22" customFormat="false" ht="15" hidden="false" customHeight="true" outlineLevel="0" collapsed="false">
      <c r="A22" s="16" t="s">
        <v>105</v>
      </c>
      <c r="B22" s="16" t="s">
        <v>106</v>
      </c>
      <c r="C22" s="16" t="s">
        <v>211</v>
      </c>
      <c r="D22" s="16" t="s">
        <v>204</v>
      </c>
      <c r="E22" s="16" t="n">
        <v>4</v>
      </c>
      <c r="F22" s="17"/>
      <c r="G22" s="18" t="s">
        <v>50</v>
      </c>
    </row>
    <row r="23" customFormat="false" ht="15" hidden="false" customHeight="true" outlineLevel="0" collapsed="false">
      <c r="A23" s="16" t="s">
        <v>105</v>
      </c>
      <c r="B23" s="16" t="s">
        <v>106</v>
      </c>
      <c r="C23" s="16" t="s">
        <v>212</v>
      </c>
      <c r="D23" s="16"/>
      <c r="E23" s="16"/>
      <c r="F23" s="17"/>
      <c r="G23" s="18" t="s">
        <v>50</v>
      </c>
    </row>
    <row r="24" customFormat="false" ht="15" hidden="false" customHeight="true" outlineLevel="0" collapsed="false">
      <c r="A24" s="16" t="s">
        <v>105</v>
      </c>
      <c r="B24" s="16" t="s">
        <v>100</v>
      </c>
      <c r="C24" s="16" t="s">
        <v>213</v>
      </c>
      <c r="D24" s="16" t="s">
        <v>214</v>
      </c>
      <c r="E24" s="16" t="n">
        <v>25</v>
      </c>
      <c r="F24" s="17"/>
      <c r="G24" s="18" t="s">
        <v>50</v>
      </c>
    </row>
    <row r="25" customFormat="false" ht="15" hidden="false" customHeight="true" outlineLevel="0" collapsed="false">
      <c r="A25" s="16" t="s">
        <v>105</v>
      </c>
      <c r="B25" s="16" t="s">
        <v>106</v>
      </c>
      <c r="C25" s="16" t="s">
        <v>215</v>
      </c>
      <c r="D25" s="16"/>
      <c r="E25" s="16"/>
      <c r="F25" s="17"/>
      <c r="G25" s="18" t="s">
        <v>50</v>
      </c>
    </row>
    <row r="26" customFormat="false" ht="15" hidden="false" customHeight="true" outlineLevel="0" collapsed="false">
      <c r="A26" s="16" t="s">
        <v>116</v>
      </c>
      <c r="B26" s="16" t="s">
        <v>111</v>
      </c>
      <c r="C26" s="16" t="s">
        <v>216</v>
      </c>
      <c r="D26" s="16" t="s">
        <v>200</v>
      </c>
      <c r="E26" s="16" t="n">
        <v>7</v>
      </c>
      <c r="F26" s="17"/>
      <c r="G26" s="18" t="s">
        <v>50</v>
      </c>
    </row>
    <row r="27" customFormat="false" ht="15" hidden="false" customHeight="true" outlineLevel="0" collapsed="false">
      <c r="A27" s="16" t="s">
        <v>116</v>
      </c>
      <c r="B27" s="16" t="s">
        <v>111</v>
      </c>
      <c r="C27" s="16" t="s">
        <v>217</v>
      </c>
      <c r="D27" s="16"/>
      <c r="E27" s="16"/>
      <c r="F27" s="17"/>
      <c r="G27" s="18" t="s">
        <v>50</v>
      </c>
    </row>
    <row r="28" customFormat="false" ht="23.25" hidden="false" customHeight="true" outlineLevel="0" collapsed="false">
      <c r="A28" s="16" t="s">
        <v>116</v>
      </c>
      <c r="B28" s="16" t="s">
        <v>122</v>
      </c>
      <c r="C28" s="16" t="s">
        <v>218</v>
      </c>
      <c r="D28" s="16" t="s">
        <v>219</v>
      </c>
      <c r="E28" s="16" t="n">
        <v>3</v>
      </c>
      <c r="F28" s="17"/>
      <c r="G28" s="18" t="s">
        <v>50</v>
      </c>
    </row>
    <row r="29" customFormat="false" ht="15" hidden="false" customHeight="true" outlineLevel="0" collapsed="false">
      <c r="A29" s="16" t="s">
        <v>116</v>
      </c>
      <c r="B29" s="16" t="s">
        <v>127</v>
      </c>
      <c r="C29" s="16" t="s">
        <v>220</v>
      </c>
      <c r="D29" s="16" t="s">
        <v>186</v>
      </c>
      <c r="E29" s="16" t="n">
        <v>6</v>
      </c>
      <c r="F29" s="17"/>
      <c r="G29" s="18" t="s">
        <v>50</v>
      </c>
    </row>
    <row r="30" customFormat="false" ht="15" hidden="false" customHeight="true" outlineLevel="0" collapsed="false">
      <c r="A30" s="16" t="s">
        <v>116</v>
      </c>
      <c r="B30" s="16" t="s">
        <v>127</v>
      </c>
      <c r="C30" s="16" t="s">
        <v>221</v>
      </c>
      <c r="D30" s="16" t="s">
        <v>204</v>
      </c>
      <c r="E30" s="16" t="n">
        <v>4</v>
      </c>
      <c r="F30" s="17"/>
      <c r="G30" s="18" t="s">
        <v>50</v>
      </c>
    </row>
    <row r="31" customFormat="false" ht="15" hidden="false" customHeight="true" outlineLevel="0" collapsed="false">
      <c r="A31" s="16" t="s">
        <v>116</v>
      </c>
      <c r="B31" s="16" t="s">
        <v>127</v>
      </c>
      <c r="C31" s="16" t="s">
        <v>222</v>
      </c>
      <c r="D31" s="16" t="s">
        <v>223</v>
      </c>
      <c r="E31" s="16" t="n">
        <v>37</v>
      </c>
      <c r="F31" s="17"/>
      <c r="G31" s="18" t="s">
        <v>50</v>
      </c>
    </row>
    <row r="32" customFormat="false" ht="15" hidden="false" customHeight="true" outlineLevel="0" collapsed="false">
      <c r="A32" s="16" t="s">
        <v>116</v>
      </c>
      <c r="B32" s="16" t="s">
        <v>127</v>
      </c>
      <c r="C32" s="16" t="s">
        <v>224</v>
      </c>
      <c r="D32" s="16"/>
      <c r="E32" s="16"/>
      <c r="F32" s="17"/>
      <c r="G32" s="18" t="s">
        <v>50</v>
      </c>
    </row>
    <row r="33" customFormat="false" ht="15" hidden="false" customHeight="true" outlineLevel="0" collapsed="false">
      <c r="A33" s="16" t="s">
        <v>137</v>
      </c>
      <c r="B33" s="16" t="s">
        <v>132</v>
      </c>
      <c r="C33" s="16" t="s">
        <v>225</v>
      </c>
      <c r="D33" s="16" t="s">
        <v>193</v>
      </c>
      <c r="E33" s="16" t="n">
        <v>9</v>
      </c>
      <c r="F33" s="17"/>
      <c r="G33" s="18" t="s">
        <v>50</v>
      </c>
    </row>
    <row r="34" customFormat="false" ht="23.25" hidden="false" customHeight="true" outlineLevel="0" collapsed="false">
      <c r="A34" s="16" t="s">
        <v>137</v>
      </c>
      <c r="B34" s="16" t="s">
        <v>132</v>
      </c>
      <c r="C34" s="16" t="s">
        <v>226</v>
      </c>
      <c r="D34" s="16" t="s">
        <v>195</v>
      </c>
      <c r="E34" s="16" t="n">
        <v>2</v>
      </c>
      <c r="F34" s="17"/>
      <c r="G34" s="18" t="s">
        <v>50</v>
      </c>
    </row>
    <row r="35" customFormat="false" ht="15" hidden="false" customHeight="true" outlineLevel="0" collapsed="false">
      <c r="A35" s="16" t="s">
        <v>137</v>
      </c>
      <c r="B35" s="16" t="s">
        <v>132</v>
      </c>
      <c r="C35" s="16" t="s">
        <v>227</v>
      </c>
      <c r="D35" s="16"/>
      <c r="E35" s="16"/>
      <c r="F35" s="17"/>
      <c r="G35" s="20" t="s">
        <v>172</v>
      </c>
    </row>
    <row r="36" customFormat="false" ht="15" hidden="false" customHeight="true" outlineLevel="0" collapsed="false">
      <c r="A36" s="16" t="s">
        <v>137</v>
      </c>
      <c r="B36" s="16" t="s">
        <v>139</v>
      </c>
      <c r="C36" s="16" t="s">
        <v>228</v>
      </c>
      <c r="D36" s="16" t="s">
        <v>186</v>
      </c>
      <c r="E36" s="16" t="n">
        <v>6</v>
      </c>
      <c r="F36" s="17"/>
      <c r="G36" s="19" t="s">
        <v>69</v>
      </c>
    </row>
    <row r="37" customFormat="false" ht="15" hidden="false" customHeight="true" outlineLevel="0" collapsed="false">
      <c r="A37" s="16" t="s">
        <v>137</v>
      </c>
      <c r="B37" s="16" t="s">
        <v>139</v>
      </c>
      <c r="C37" s="16" t="s">
        <v>229</v>
      </c>
      <c r="D37" s="16"/>
      <c r="E37" s="16"/>
      <c r="F37" s="17"/>
      <c r="G37" s="20" t="s">
        <v>172</v>
      </c>
    </row>
    <row r="38" customFormat="false" ht="15" hidden="false" customHeight="true" outlineLevel="0" collapsed="false">
      <c r="A38" s="16" t="s">
        <v>137</v>
      </c>
      <c r="B38" s="16" t="s">
        <v>132</v>
      </c>
      <c r="C38" s="16" t="s">
        <v>230</v>
      </c>
      <c r="D38" s="16" t="s">
        <v>231</v>
      </c>
      <c r="E38" s="16" t="n">
        <v>18</v>
      </c>
      <c r="F38" s="17"/>
      <c r="G38" s="18" t="s">
        <v>50</v>
      </c>
    </row>
    <row r="39" customFormat="false" ht="23.25" hidden="false" customHeight="true" outlineLevel="0" collapsed="false">
      <c r="A39" s="16" t="s">
        <v>149</v>
      </c>
      <c r="B39" s="16" t="s">
        <v>150</v>
      </c>
      <c r="C39" s="16" t="s">
        <v>232</v>
      </c>
      <c r="D39" s="16" t="s">
        <v>193</v>
      </c>
      <c r="E39" s="16" t="n">
        <v>9</v>
      </c>
      <c r="F39" s="17"/>
      <c r="G39" s="19" t="s">
        <v>69</v>
      </c>
    </row>
    <row r="40" customFormat="false" ht="23.25" hidden="false" customHeight="true" outlineLevel="0" collapsed="false">
      <c r="A40" s="16" t="s">
        <v>149</v>
      </c>
      <c r="B40" s="16" t="s">
        <v>150</v>
      </c>
      <c r="C40" s="16" t="s">
        <v>233</v>
      </c>
      <c r="D40" s="16" t="s">
        <v>219</v>
      </c>
      <c r="E40" s="16" t="n">
        <v>3</v>
      </c>
      <c r="F40" s="17"/>
      <c r="G40" s="18" t="s">
        <v>50</v>
      </c>
    </row>
    <row r="41" customFormat="false" ht="15" hidden="false" customHeight="true" outlineLevel="0" collapsed="false">
      <c r="A41" s="16" t="s">
        <v>149</v>
      </c>
      <c r="B41" s="16" t="s">
        <v>150</v>
      </c>
      <c r="C41" s="16" t="s">
        <v>234</v>
      </c>
      <c r="D41" s="16"/>
      <c r="E41" s="16"/>
      <c r="F41" s="17"/>
      <c r="G41" s="20" t="s">
        <v>172</v>
      </c>
    </row>
    <row r="42" customFormat="false" ht="15" hidden="false" customHeight="true" outlineLevel="0" collapsed="false">
      <c r="A42" s="16" t="s">
        <v>149</v>
      </c>
      <c r="B42" s="16" t="s">
        <v>145</v>
      </c>
      <c r="C42" s="16" t="s">
        <v>235</v>
      </c>
      <c r="D42" s="16"/>
      <c r="E42" s="16"/>
      <c r="F42" s="17"/>
      <c r="G42" s="18" t="s">
        <v>50</v>
      </c>
    </row>
    <row r="43" customFormat="false" ht="15" hidden="false" customHeight="true" outlineLevel="0" collapsed="false">
      <c r="A43" s="16" t="s">
        <v>149</v>
      </c>
      <c r="B43" s="16" t="s">
        <v>145</v>
      </c>
      <c r="C43" s="16" t="s">
        <v>236</v>
      </c>
      <c r="D43" s="16" t="s">
        <v>237</v>
      </c>
      <c r="E43" s="16" t="n">
        <v>20</v>
      </c>
      <c r="F43" s="17"/>
      <c r="G43" s="18" t="s">
        <v>50</v>
      </c>
    </row>
    <row r="44" customFormat="false" ht="15" hidden="false" customHeight="true" outlineLevel="0" collapsed="false">
      <c r="A44" s="16" t="s">
        <v>149</v>
      </c>
      <c r="B44" s="16" t="s">
        <v>156</v>
      </c>
      <c r="C44" s="16" t="s">
        <v>238</v>
      </c>
      <c r="D44" s="16"/>
      <c r="E44" s="16"/>
      <c r="F44" s="17"/>
      <c r="G44" s="18" t="s">
        <v>50</v>
      </c>
    </row>
    <row r="45" customFormat="false" ht="15" hidden="false" customHeight="true" outlineLevel="0" collapsed="false">
      <c r="A45" s="16" t="s">
        <v>149</v>
      </c>
      <c r="B45" s="16" t="s">
        <v>156</v>
      </c>
      <c r="C45" s="16" t="s">
        <v>239</v>
      </c>
      <c r="D45" s="16" t="s">
        <v>240</v>
      </c>
      <c r="E45" s="16" t="n">
        <v>23</v>
      </c>
      <c r="F45" s="17"/>
      <c r="G45" s="18" t="s">
        <v>50</v>
      </c>
    </row>
    <row r="46" customFormat="false" ht="15" hidden="false" customHeight="true" outlineLevel="0" collapsed="false">
      <c r="A46" s="16" t="s">
        <v>149</v>
      </c>
      <c r="B46" s="16" t="s">
        <v>161</v>
      </c>
      <c r="C46" s="16" t="s">
        <v>241</v>
      </c>
      <c r="D46" s="16" t="s">
        <v>242</v>
      </c>
      <c r="E46" s="16" t="n">
        <v>1</v>
      </c>
      <c r="F46" s="17"/>
      <c r="G46" s="18" t="s">
        <v>50</v>
      </c>
    </row>
    <row r="47" customFormat="false" ht="23.25" hidden="false" customHeight="true" outlineLevel="0" collapsed="false">
      <c r="A47" s="16" t="s">
        <v>149</v>
      </c>
      <c r="B47" s="16" t="s">
        <v>43</v>
      </c>
      <c r="C47" s="16" t="s">
        <v>243</v>
      </c>
      <c r="D47" s="16"/>
      <c r="E47" s="16"/>
      <c r="F47" s="17"/>
      <c r="G47" s="18" t="s">
        <v>50</v>
      </c>
    </row>
  </sheetData>
  <autoFilter ref="A1:G47"/>
  <dataValidations count="2">
    <dataValidation allowBlank="true" errorStyle="stop" operator="between" showDropDown="false" showErrorMessage="false" showInputMessage="false" sqref="F2:F47" type="list">
      <formula1>"Eduardo Agüero,Diego Santiagos,David Gana,Equipo"</formula1>
      <formula2>0</formula2>
    </dataValidation>
    <dataValidation allowBlank="false" errorStyle="stop" operator="between" showDropDown="false" showErrorMessage="false" showInputMessage="false" sqref="G2:G47" type="list">
      <formula1>"Terminado,Parcial,Pendiente"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10"/>
    <col collapsed="false" customWidth="true" hidden="false" outlineLevel="0" max="3" min="2" style="11" width="12"/>
    <col collapsed="false" customWidth="true" hidden="false" outlineLevel="0" max="4" min="4" style="11" width="60"/>
    <col collapsed="false" customWidth="true" hidden="false" outlineLevel="0" max="5" min="5" style="11" width="10"/>
    <col collapsed="false" customWidth="true" hidden="false" outlineLevel="0" max="6" min="6" style="11" width="14"/>
    <col collapsed="false" customWidth="true" hidden="false" outlineLevel="0" max="7" min="7" style="11" width="10"/>
    <col collapsed="false" customWidth="true" hidden="false" outlineLevel="0" max="9" min="8" style="11" width="14"/>
  </cols>
  <sheetData>
    <row r="1" customFormat="false" ht="39" hidden="false" customHeight="true" outlineLevel="0" collapsed="false">
      <c r="A1" s="15" t="s">
        <v>40</v>
      </c>
      <c r="B1" s="15" t="s">
        <v>244</v>
      </c>
      <c r="C1" s="15" t="s">
        <v>245</v>
      </c>
      <c r="D1" s="15" t="s">
        <v>246</v>
      </c>
      <c r="E1" s="15" t="s">
        <v>247</v>
      </c>
      <c r="F1" s="15" t="s">
        <v>248</v>
      </c>
      <c r="G1" s="15" t="s">
        <v>249</v>
      </c>
      <c r="H1" s="15" t="s">
        <v>250</v>
      </c>
      <c r="I1" s="15" t="s">
        <v>251</v>
      </c>
    </row>
    <row r="2" customFormat="false" ht="23.25" hidden="false" customHeight="true" outlineLevel="0" collapsed="false">
      <c r="A2" s="16" t="s">
        <v>49</v>
      </c>
      <c r="B2" s="16" t="s">
        <v>252</v>
      </c>
      <c r="C2" s="16" t="s">
        <v>253</v>
      </c>
      <c r="D2" s="16" t="s">
        <v>254</v>
      </c>
      <c r="E2" s="16" t="n">
        <f aca="false">COUNTIF('Product Backlog'!$H$2:$H$25,A2)</f>
        <v>5</v>
      </c>
      <c r="F2" s="16" t="n">
        <f aca="false">SUMIF('Product Backlog'!$H$2:$H$25,A2,'Product Backlog'!$G$2:$G$25)</f>
        <v>37</v>
      </c>
      <c r="G2" s="16" t="n">
        <f aca="false">COUNTIF('Sprint Backlog'!$A$2:$A$47,A2)</f>
        <v>7</v>
      </c>
      <c r="H2" s="16" t="n">
        <f aca="false">COUNTIFS('Sprint Backlog'!$A$2:$A$47,A2,'Sprint Backlog'!$G$2:$G$47,"Terminado")</f>
        <v>6</v>
      </c>
      <c r="I2" s="21" t="n">
        <f aca="false">IF(G2=0,"-",H2/G2)</f>
        <v>0.857142857142857</v>
      </c>
    </row>
    <row r="3" customFormat="false" ht="23.25" hidden="false" customHeight="true" outlineLevel="0" collapsed="false">
      <c r="A3" s="16" t="s">
        <v>76</v>
      </c>
      <c r="B3" s="16" t="s">
        <v>255</v>
      </c>
      <c r="C3" s="16" t="s">
        <v>256</v>
      </c>
      <c r="D3" s="16" t="s">
        <v>257</v>
      </c>
      <c r="E3" s="16" t="n">
        <f aca="false">COUNTIF('Product Backlog'!$H$2:$H$25,A3)</f>
        <v>6</v>
      </c>
      <c r="F3" s="16" t="n">
        <f aca="false">SUMIF('Product Backlog'!$H$2:$H$25,A3,'Product Backlog'!$G$2:$G$25)</f>
        <v>40</v>
      </c>
      <c r="G3" s="16" t="n">
        <f aca="false">COUNTIF('Sprint Backlog'!$A$2:$A$47,A3)</f>
        <v>11</v>
      </c>
      <c r="H3" s="16" t="n">
        <f aca="false">COUNTIFS('Sprint Backlog'!$A$2:$A$47,A3,'Sprint Backlog'!$G$2:$G$47,"Terminado")</f>
        <v>11</v>
      </c>
      <c r="I3" s="21" t="n">
        <f aca="false">IF(G3=0,"-",H3/G3)</f>
        <v>1</v>
      </c>
    </row>
    <row r="4" customFormat="false" ht="15" hidden="false" customHeight="true" outlineLevel="0" collapsed="false">
      <c r="A4" s="16" t="s">
        <v>105</v>
      </c>
      <c r="B4" s="16" t="s">
        <v>258</v>
      </c>
      <c r="C4" s="16" t="s">
        <v>259</v>
      </c>
      <c r="D4" s="16" t="s">
        <v>260</v>
      </c>
      <c r="E4" s="16" t="n">
        <f aca="false">COUNTIF('Product Backlog'!$H$2:$H$25,A4)</f>
        <v>2</v>
      </c>
      <c r="F4" s="16" t="n">
        <f aca="false">SUMIF('Product Backlog'!$H$2:$H$25,A4,'Product Backlog'!$G$2:$G$25)</f>
        <v>16</v>
      </c>
      <c r="G4" s="16" t="n">
        <f aca="false">COUNTIF('Sprint Backlog'!$A$2:$A$47,A4)</f>
        <v>6</v>
      </c>
      <c r="H4" s="16" t="n">
        <f aca="false">COUNTIFS('Sprint Backlog'!$A$2:$A$47,A4,'Sprint Backlog'!$G$2:$G$47,"Terminado")</f>
        <v>6</v>
      </c>
      <c r="I4" s="21" t="n">
        <f aca="false">IF(G4=0,"-",H4/G4)</f>
        <v>1</v>
      </c>
    </row>
    <row r="5" customFormat="false" ht="23.25" hidden="false" customHeight="true" outlineLevel="0" collapsed="false">
      <c r="A5" s="16" t="s">
        <v>116</v>
      </c>
      <c r="B5" s="16" t="s">
        <v>261</v>
      </c>
      <c r="C5" s="16" t="s">
        <v>262</v>
      </c>
      <c r="D5" s="16" t="s">
        <v>263</v>
      </c>
      <c r="E5" s="16" t="n">
        <f aca="false">COUNTIF('Product Backlog'!$H$2:$H$25,A5)</f>
        <v>4</v>
      </c>
      <c r="F5" s="16" t="n">
        <f aca="false">SUMIF('Product Backlog'!$H$2:$H$25,A5,'Product Backlog'!$G$2:$G$25)</f>
        <v>29</v>
      </c>
      <c r="G5" s="16" t="n">
        <f aca="false">COUNTIF('Sprint Backlog'!$A$2:$A$47,A5)</f>
        <v>7</v>
      </c>
      <c r="H5" s="16" t="n">
        <f aca="false">COUNTIFS('Sprint Backlog'!$A$2:$A$47,A5,'Sprint Backlog'!$G$2:$G$47,"Terminado")</f>
        <v>7</v>
      </c>
      <c r="I5" s="21" t="n">
        <f aca="false">IF(G5=0,"-",H5/G5)</f>
        <v>1</v>
      </c>
    </row>
    <row r="6" customFormat="false" ht="23.25" hidden="false" customHeight="true" outlineLevel="0" collapsed="false">
      <c r="A6" s="16" t="s">
        <v>137</v>
      </c>
      <c r="B6" s="16" t="s">
        <v>264</v>
      </c>
      <c r="C6" s="16" t="s">
        <v>265</v>
      </c>
      <c r="D6" s="16" t="s">
        <v>266</v>
      </c>
      <c r="E6" s="16" t="n">
        <f aca="false">COUNTIF('Product Backlog'!$H$2:$H$25,A6)</f>
        <v>2</v>
      </c>
      <c r="F6" s="16" t="n">
        <f aca="false">SUMIF('Product Backlog'!$H$2:$H$25,A6,'Product Backlog'!$G$2:$G$25)</f>
        <v>8</v>
      </c>
      <c r="G6" s="16" t="n">
        <f aca="false">COUNTIF('Sprint Backlog'!$A$2:$A$47,A6)</f>
        <v>6</v>
      </c>
      <c r="H6" s="16" t="n">
        <f aca="false">COUNTIFS('Sprint Backlog'!$A$2:$A$47,A6,'Sprint Backlog'!$G$2:$G$47,"Terminado")</f>
        <v>3</v>
      </c>
      <c r="I6" s="21" t="n">
        <f aca="false">IF(G6=0,"-",H6/G6)</f>
        <v>0.5</v>
      </c>
    </row>
    <row r="7" customFormat="false" ht="23.25" hidden="false" customHeight="true" outlineLevel="0" collapsed="false">
      <c r="A7" s="16" t="s">
        <v>149</v>
      </c>
      <c r="B7" s="16" t="s">
        <v>267</v>
      </c>
      <c r="C7" s="16" t="s">
        <v>268</v>
      </c>
      <c r="D7" s="16" t="s">
        <v>269</v>
      </c>
      <c r="E7" s="16" t="n">
        <f aca="false">COUNTIF('Product Backlog'!$H$2:$H$25,A7)</f>
        <v>4</v>
      </c>
      <c r="F7" s="16" t="n">
        <f aca="false">SUMIF('Product Backlog'!$H$2:$H$25,A7,'Product Backlog'!$G$2:$G$25)</f>
        <v>26</v>
      </c>
      <c r="G7" s="16" t="n">
        <f aca="false">COUNTIF('Sprint Backlog'!$A$2:$A$47,A7)</f>
        <v>9</v>
      </c>
      <c r="H7" s="16" t="n">
        <f aca="false">COUNTIFS('Sprint Backlog'!$A$2:$A$47,A7,'Sprint Backlog'!$G$2:$G$47,"Terminado")</f>
        <v>7</v>
      </c>
      <c r="I7" s="21" t="n">
        <f aca="false">IF(G7=0,"-",H7/G7)</f>
        <v>0.777777777777778</v>
      </c>
    </row>
    <row r="8" customFormat="false" ht="15" hidden="false" customHeight="true" outlineLevel="0" collapsed="false">
      <c r="A8" s="22" t="s">
        <v>270</v>
      </c>
      <c r="B8" s="22"/>
      <c r="C8" s="22"/>
      <c r="D8" s="22"/>
      <c r="E8" s="22" t="n">
        <f aca="false">SUM(E2:E7)</f>
        <v>23</v>
      </c>
      <c r="F8" s="22" t="n">
        <f aca="false">SUM(F2:F7)</f>
        <v>156</v>
      </c>
      <c r="G8" s="22" t="n">
        <f aca="false">SUM(G2:G7)</f>
        <v>46</v>
      </c>
      <c r="H8" s="22" t="n">
        <f aca="false">SUM(H2:H7)</f>
        <v>40</v>
      </c>
      <c r="I8" s="23" t="n">
        <f aca="false">IF(G8=0,"-",H8/G8)</f>
        <v>0.869565217391304</v>
      </c>
    </row>
    <row r="10" customFormat="false" ht="15" hidden="false" customHeight="true" outlineLevel="0" collapsed="false">
      <c r="A10" s="13" t="s">
        <v>271</v>
      </c>
      <c r="B10" s="13" t="s">
        <v>272</v>
      </c>
      <c r="C10" s="13" t="s">
        <v>273</v>
      </c>
      <c r="D10" s="13" t="s">
        <v>274</v>
      </c>
      <c r="E10" s="13"/>
      <c r="F10" s="13"/>
      <c r="G10" s="13"/>
      <c r="H10" s="13"/>
      <c r="I1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2026-10-30T18:29:02Z</dcterms:created>
  <dc:creator>openpyxl</dc:creator>
  <dc:description/>
  <dc:language>en-US</dc:language>
  <cp:lastModifiedBy/>
  <dcterms:modified xsi:type="dcterms:W3CDTF">2026-10-31T00:53:05Z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