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Endpoints" sheetId="3" state="visible" r:id="rId5"/>
  </sheets>
  <definedNames>
    <definedName function="false" hidden="true" localSheetId="2" name="_xlnm._FilterDatabase" vbProcedure="false">Endpoints!$A$1:$F$162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<sst xmlns="http://schemas.openxmlformats.org/spreadsheetml/2006/main" count="1012" uniqueCount="481">
  <si>
    <t xml:space="preserve">Catálogo de Endpoints</t>
  </si>
  <si>
    <t xml:space="preserve">API REST FastAPI</t>
  </si>
  <si>
    <t xml:space="preserve">Acredittia</t>
  </si>
  <si>
    <t xml:space="preserve">Revisión: 1.0</t>
  </si>
  <si>
    <t xml:space="preserve">30/10/2026</t>
  </si>
  <si>
    <t xml:space="preserve">Contenido del libro</t>
  </si>
  <si>
    <t xml:space="preserve">Resumen</t>
  </si>
  <si>
    <t xml:space="preserve">Endpoints por módulo y método HTTP</t>
  </si>
  <si>
    <t xml:space="preserve">Endpoints</t>
  </si>
  <si>
    <t xml:space="preserve">161 endpoints con ruta, función y descripción</t>
  </si>
  <si>
    <t xml:space="preserve">Ficha del documento</t>
  </si>
  <si>
    <t xml:space="preserve">Fecha</t>
  </si>
  <si>
    <t xml:space="preserve">Revisión</t>
  </si>
  <si>
    <t xml:space="preserve">Autor</t>
  </si>
  <si>
    <t xml:space="preserve">Modificación</t>
  </si>
  <si>
    <t xml:space="preserve">1.0</t>
  </si>
  <si>
    <t xml:space="preserve">Equipo Acredittia</t>
  </si>
  <si>
    <t xml:space="preserve">Creación del documento</t>
  </si>
  <si>
    <t xml:space="preserve">Escuela de Informática y Telecomunicaciones · Duoc UC</t>
  </si>
  <si>
    <t xml:space="preserve">Catálogo de endpoints — API Acredittia (FastAPI)</t>
  </si>
  <si>
    <t xml:space="preserve">Fuente: app/backend/app/routers/*.py del repositorio Backend_Acredita. Todas las rutas cuelgan de /api/v1.</t>
  </si>
  <si>
    <t xml:space="preserve">Módulo</t>
  </si>
  <si>
    <t xml:space="preserve">GET</t>
  </si>
  <si>
    <t xml:space="preserve">POST</t>
  </si>
  <si>
    <t xml:space="preserve">PUT</t>
  </si>
  <si>
    <t xml:space="preserve">PATCH</t>
  </si>
  <si>
    <t xml:space="preserve">DELETE</t>
  </si>
  <si>
    <t xml:space="preserve">Total</t>
  </si>
  <si>
    <t xml:space="preserve">Administración</t>
  </si>
  <si>
    <t xml:space="preserve">Alertas</t>
  </si>
  <si>
    <t xml:space="preserve">Archivos (SAS local)</t>
  </si>
  <si>
    <t xml:space="preserve">Auditoría</t>
  </si>
  <si>
    <t xml:space="preserve">Autenticación</t>
  </si>
  <si>
    <t xml:space="preserve">Calendario</t>
  </si>
  <si>
    <t xml:space="preserve">Cargos</t>
  </si>
  <si>
    <t xml:space="preserve">Checklist del contrato</t>
  </si>
  <si>
    <t xml:space="preserve">Contratos</t>
  </si>
  <si>
    <t xml:space="preserve">Dashboard</t>
  </si>
  <si>
    <t xml:space="preserve">Documentos</t>
  </si>
  <si>
    <t xml:space="preserve">Empresa</t>
  </si>
  <si>
    <t xml:space="preserve">Faenas</t>
  </si>
  <si>
    <t xml:space="preserve">Integraciones</t>
  </si>
  <si>
    <t xml:space="preserve">Licencia interna (LIM/EMSIPOR)</t>
  </si>
  <si>
    <t xml:space="preserve">Notificaciones</t>
  </si>
  <si>
    <t xml:space="preserve">Personal y equipos</t>
  </si>
  <si>
    <t xml:space="preserve">Personas y flota</t>
  </si>
  <si>
    <t xml:space="preserve">Plataformas del mandante</t>
  </si>
  <si>
    <t xml:space="preserve">Reportes</t>
  </si>
  <si>
    <t xml:space="preserve">Requisitos</t>
  </si>
  <si>
    <t xml:space="preserve">Revisión IA</t>
  </si>
  <si>
    <t xml:space="preserve">Suscripción y facturas</t>
  </si>
  <si>
    <t xml:space="preserve">Webhooks</t>
  </si>
  <si>
    <t xml:space="preserve">Archivo</t>
  </si>
  <si>
    <t xml:space="preserve">Método</t>
  </si>
  <si>
    <t xml:space="preserve">Ruta</t>
  </si>
  <si>
    <t xml:space="preserve">Función</t>
  </si>
  <si>
    <t xml:space="preserve">Descripción (docstring)</t>
  </si>
  <si>
    <t xml:space="preserve">routers/admin.py</t>
  </si>
  <si>
    <t xml:space="preserve">/api/v1/admin/companies</t>
  </si>
  <si>
    <t xml:space="preserve">list_companies</t>
  </si>
  <si>
    <t xml:space="preserve">Solicitudes y cuentas de empresa, la más reciente primero.</t>
  </si>
  <si>
    <t xml:space="preserve">/api/v1/admin/companies/{company_id}</t>
  </si>
  <si>
    <t xml:space="preserve">detalle_company</t>
  </si>
  <si>
    <t xml:space="preserve">Ficha de una empresa con sus estadísticas de operación.</t>
  </si>
  <si>
    <t xml:space="preserve">/api/v1/admin/companies/{company_id}/approve</t>
  </si>
  <si>
    <t xml:space="preserve">approve</t>
  </si>
  <si>
    <t xml:space="preserve">/api/v1/admin/companies/{company_id}/reject</t>
  </si>
  <si>
    <t xml:space="preserve">reject</t>
  </si>
  <si>
    <t xml:space="preserve">/api/v1/admin/companies/{company_id}/reset-demo</t>
  </si>
  <si>
    <t xml:space="preserve">reset_demo</t>
  </si>
  <si>
    <t xml:space="preserve">Reinicia los datos de operación de una empresa demo. Irreversible.</t>
  </si>
  <si>
    <t xml:space="preserve">/api/v1/admin/faenas</t>
  </si>
  <si>
    <t xml:space="preserve">crear_faena</t>
  </si>
  <si>
    <t xml:space="preserve">Da de alta una faena en el catálogo global.</t>
  </si>
  <si>
    <t xml:space="preserve">/api/v1/admin/faenas/{faena_id}</t>
  </si>
  <si>
    <t xml:space="preserve">editar_faena</t>
  </si>
  <si>
    <t xml:space="preserve">Edita los datos y el branding de una faena del catálogo.</t>
  </si>
  <si>
    <t xml:space="preserve">/api/v1/admin/faenas/{faena_id}/plataformas</t>
  </si>
  <si>
    <t xml:space="preserve">crear_plataforma_faena</t>
  </si>
  <si>
    <t xml:space="preserve">Agrega una plataforma del mandante a la faena (SIGA, DIRECTIC, …).</t>
  </si>
  <si>
    <t xml:space="preserve">/api/v1/admin/requisitos/templates</t>
  </si>
  <si>
    <t xml:space="preserve">listar_templates</t>
  </si>
  <si>
    <t xml:space="preserve">Catálogo completo de plantillas, incluidas las inactivas.</t>
  </si>
  <si>
    <t xml:space="preserve">crear_template</t>
  </si>
  <si>
    <t xml:space="preserve">Crea una plantilla de requisito.</t>
  </si>
  <si>
    <t xml:space="preserve">/api/v1/admin/requisitos/templates/{template_id}</t>
  </si>
  <si>
    <t xml:space="preserve">eliminar_template</t>
  </si>
  <si>
    <t xml:space="preserve">Desactiva la plantilla (borrado en blando). Nunca borra documentos.</t>
  </si>
  <si>
    <t xml:space="preserve">editar_template</t>
  </si>
  <si>
    <t xml:space="preserve">Edita una plantilla. Los cambios NO se propagan a lo ya instanciado.</t>
  </si>
  <si>
    <t xml:space="preserve">/api/v1/admin/stats</t>
  </si>
  <si>
    <t xml:space="preserve">stats</t>
  </si>
  <si>
    <t xml:space="preserve">KPI de la plataforma.</t>
  </si>
  <si>
    <t xml:space="preserve">routers/alertas.py</t>
  </si>
  <si>
    <t xml:space="preserve">/api/v1/alertas</t>
  </si>
  <si>
    <t xml:space="preserve">listar</t>
  </si>
  <si>
    <t xml:space="preserve">Alertas de la empresa, la más reciente primero.</t>
  </si>
  <si>
    <t xml:space="preserve">/api/v1/alertas/marcar-leidas</t>
  </si>
  <si>
    <t xml:space="preserve">marcar_leidas</t>
  </si>
  <si>
    <t xml:space="preserve">Marca como leídas las alertas indicadas, o todas las no leídas.</t>
  </si>
  <si>
    <t xml:space="preserve">/api/v1/alertas/resumen</t>
  </si>
  <si>
    <t xml:space="preserve">resumen</t>
  </si>
  <si>
    <t xml:space="preserve">Contadores de la campana de notificaciones.</t>
  </si>
  <si>
    <t xml:space="preserve">/api/v1/alertas/{alerta_id}</t>
  </si>
  <si>
    <t xml:space="preserve">editar</t>
  </si>
  <si>
    <t xml:space="preserve">Marca la alerta como leída, en progreso o resuelta.</t>
  </si>
  <si>
    <t xml:space="preserve">routers/blobs.py</t>
  </si>
  <si>
    <t xml:space="preserve">/api/v1/blobs/download</t>
  </si>
  <si>
    <t xml:space="preserve">descargar</t>
  </si>
  <si>
    <t xml:space="preserve">Devuelve el contenido del blob como descarga.</t>
  </si>
  <si>
    <t xml:space="preserve">/api/v1/blobs/upload</t>
  </si>
  <si>
    <t xml:space="preserve">subir</t>
  </si>
  <si>
    <t xml:space="preserve">Recibe el cuerpo crudo del archivo y lo guarda en el storage local.</t>
  </si>
  <si>
    <t xml:space="preserve">routers/actividad.py</t>
  </si>
  <si>
    <t xml:space="preserve">/api/v1/actividad</t>
  </si>
  <si>
    <t xml:space="preserve">Historial de acciones de la empresa, el más reciente primero.</t>
  </si>
  <si>
    <t xml:space="preserve">routers/auth.py</t>
  </si>
  <si>
    <t xml:space="preserve">/api/v1/auth/login</t>
  </si>
  <si>
    <t xml:space="preserve">login</t>
  </si>
  <si>
    <t xml:space="preserve">Emite el par de tokens. Rechaza cuentas no aprobadas o desactivadas.</t>
  </si>
  <si>
    <t xml:space="preserve">/api/v1/auth/logout</t>
  </si>
  <si>
    <t xml:space="preserve">logout</t>
  </si>
  <si>
    <t xml:space="preserve">/api/v1/auth/me</t>
  </si>
  <si>
    <t xml:space="preserve">me</t>
  </si>
  <si>
    <t xml:space="preserve">Perfil del usuario autenticado.</t>
  </si>
  <si>
    <t xml:space="preserve">editar_me</t>
  </si>
  <si>
    <t xml:space="preserve">Autoservicio del perfil: nombre, email y contraseña.</t>
  </si>
  <si>
    <t xml:space="preserve">/api/v1/auth/password/forgot</t>
  </si>
  <si>
    <t xml:space="preserve">password_forgot</t>
  </si>
  <si>
    <t xml:space="preserve">Emite un token de restablecimiento. Respuesta idéntica exista o no la cuenta.</t>
  </si>
  <si>
    <t xml:space="preserve">/api/v1/auth/password/reset</t>
  </si>
  <si>
    <t xml:space="preserve">password_reset</t>
  </si>
  <si>
    <t xml:space="preserve">Consume un token de restablecimiento y cambia la contraseña.</t>
  </si>
  <si>
    <t xml:space="preserve">/api/v1/auth/refresh</t>
  </si>
  <si>
    <t xml:space="preserve">refresh</t>
  </si>
  <si>
    <t xml:space="preserve">Rota el refresh token. Sin tenant en contexto: ver `login`.</t>
  </si>
  <si>
    <t xml:space="preserve">/api/v1/auth/register</t>
  </si>
  <si>
    <t xml:space="preserve">register</t>
  </si>
  <si>
    <t xml:space="preserve">Alta de una empresa y de su primer usuario, en estado `pending`.</t>
  </si>
  <si>
    <t xml:space="preserve">routers/calendario.py</t>
  </si>
  <si>
    <t xml:space="preserve">/api/v1/calendario/eventos</t>
  </si>
  <si>
    <t xml:space="preserve">listar_eventos</t>
  </si>
  <si>
    <t xml:space="preserve">Eventos del rango: vencimientos proyectados + anotaciones de la empresa.</t>
  </si>
  <si>
    <t xml:space="preserve">crear_evento</t>
  </si>
  <si>
    <t xml:space="preserve">Anota un evento propio de la empresa en el calendario.</t>
  </si>
  <si>
    <t xml:space="preserve">/api/v1/calendario/eventos/{evento_id}</t>
  </si>
  <si>
    <t xml:space="preserve">eliminar_evento</t>
  </si>
  <si>
    <t xml:space="preserve">Elimina un evento manual. Los vencimientos no se pueden borrar: no son</t>
  </si>
  <si>
    <t xml:space="preserve">editar_evento</t>
  </si>
  <si>
    <t xml:space="preserve">Edita un evento manual. La categoría sigue sin poder ser 'vencimiento'.</t>
  </si>
  <si>
    <t xml:space="preserve">routers/cargos.py</t>
  </si>
  <si>
    <t xml:space="preserve">/api/v1/admin/cargos</t>
  </si>
  <si>
    <t xml:space="preserve">admin_listar</t>
  </si>
  <si>
    <t xml:space="preserve">Catálogo base de Acredittia, el que heredan todas las empresas.</t>
  </si>
  <si>
    <t xml:space="preserve">admin_crear</t>
  </si>
  <si>
    <t xml:space="preserve">Crea un cargo del catálogo base (company_id NULL).</t>
  </si>
  <si>
    <t xml:space="preserve">/api/v1/admin/cargos/{cargo_id}</t>
  </si>
  <si>
    <t xml:space="preserve">admin_eliminar</t>
  </si>
  <si>
    <t xml:space="preserve">Baja lógica en el catálogo base. Se rechaza si alguna empresa lo usa: el</t>
  </si>
  <si>
    <t xml:space="preserve">admin_editar</t>
  </si>
  <si>
    <t xml:space="preserve">Edita un cargo del catálogo base. No propaga documentos: los expedientes</t>
  </si>
  <si>
    <t xml:space="preserve">/api/v1/cargos</t>
  </si>
  <si>
    <t xml:space="preserve">Catálogo visible: los cargos de la empresa más los globales de Acredittia.</t>
  </si>
  <si>
    <t xml:space="preserve">crear</t>
  </si>
  <si>
    <t xml:space="preserve">Crea un cargo de la empresa.</t>
  </si>
  <si>
    <t xml:space="preserve">/api/v1/cargos/{cargo_id}</t>
  </si>
  <si>
    <t xml:space="preserve">eliminar</t>
  </si>
  <si>
    <t xml:space="preserve">Baja lógica del cargo. Con trabajadores activos asignados se rechaza:</t>
  </si>
  <si>
    <t xml:space="preserve">Edita el cargo y, opcionalmente, propaga los requisitos nuevos.</t>
  </si>
  <si>
    <t xml:space="preserve">/api/v1/cargos/{cargo_id}/requisitos</t>
  </si>
  <si>
    <t xml:space="preserve">requisitos_efectivos</t>
  </si>
  <si>
    <t xml:space="preserve">Plantilla efectiva del cargo: lo que se instanciará a un trabajador nuevo.</t>
  </si>
  <si>
    <t xml:space="preserve">routers/contrato_requisitos.py</t>
  </si>
  <si>
    <t xml:space="preserve">/api/v1/contratos/{contrato_id}/carpeta-arranque</t>
  </si>
  <si>
    <t xml:space="preserve">analizar_carpeta_arranque</t>
  </si>
  <si>
    <t xml:space="preserve">Encola la extracción de requisitos de la Carpeta de Arranque.</t>
  </si>
  <si>
    <t xml:space="preserve">/api/v1/contratos/{contrato_id}/plantillas/{ambito}</t>
  </si>
  <si>
    <t xml:space="preserve">definir_plantilla</t>
  </si>
  <si>
    <t xml:space="preserve">Reemplaza la plantilla estándar de un ámbito para este contrato.</t>
  </si>
  <si>
    <t xml:space="preserve">/api/v1/contratos/{contrato_id}/requisitos</t>
  </si>
  <si>
    <t xml:space="preserve">listar_requisitos</t>
  </si>
  <si>
    <t xml:space="preserve">Checklist completo del contrato: base proyectado + personalizados reales.</t>
  </si>
  <si>
    <t xml:space="preserve">crear_requisitos</t>
  </si>
  <si>
    <t xml:space="preserve">Añade requisitos personalizados al contrato.</t>
  </si>
  <si>
    <t xml:space="preserve">/api/v1/contratos/{contrato_id}/requisitos/{rid}</t>
  </si>
  <si>
    <t xml:space="preserve">eliminar_requisito</t>
  </si>
  <si>
    <t xml:space="preserve">Elimina un requisito personalizado.</t>
  </si>
  <si>
    <t xml:space="preserve">editar_requisito</t>
  </si>
  <si>
    <t xml:space="preserve">Edita un requisito personalizado del contrato.</t>
  </si>
  <si>
    <t xml:space="preserve">/api/v1/contratos/{contrato_id}/vinculos</t>
  </si>
  <si>
    <t xml:space="preserve">listar_vinculos</t>
  </si>
  <si>
    <t xml:space="preserve">Vínculos a los que se puede anclar un requisito, con su carga actual.</t>
  </si>
  <si>
    <t xml:space="preserve">routers/contratos.py</t>
  </si>
  <si>
    <t xml:space="preserve">/api/v1/contratos</t>
  </si>
  <si>
    <t xml:space="preserve">Contratos de la empresa. Un contract_admin ve únicamente el suyo.</t>
  </si>
  <si>
    <t xml:space="preserve">Crea el contrato e instancia su checklist de ámbito empresa.</t>
  </si>
  <si>
    <t xml:space="preserve">/api/v1/contratos/analizar</t>
  </si>
  <si>
    <t xml:space="preserve">analizar</t>
  </si>
  <si>
    <t xml:space="preserve">Encola la extracción IA de un contrato ya subido por SAS.</t>
  </si>
  <si>
    <t xml:space="preserve">/api/v1/contratos/{contrato_id}</t>
  </si>
  <si>
    <t xml:space="preserve">Borra el contrato y todo lo que cuelga de él. Exige confirm con dotación.</t>
  </si>
  <si>
    <t xml:space="preserve">detalle</t>
  </si>
  <si>
    <t xml:space="preserve">/api/v1/contratos/{contrato_id}/alertas</t>
  </si>
  <si>
    <t xml:space="preserve">alertas_contrato</t>
  </si>
  <si>
    <t xml:space="preserve">Alertas del contrato, en el mismo formato que `GET /alertas`.</t>
  </si>
  <si>
    <t xml:space="preserve">/api/v1/contratos/{contrato_id}/documentos</t>
  </si>
  <si>
    <t xml:space="preserve">docs_empresa</t>
  </si>
  <si>
    <t xml:space="preserve">Checklist de ámbito empresa del contrato (los que cuelgan del contrato).</t>
  </si>
  <si>
    <t xml:space="preserve">/api/v1/contratos/{contrato_id}/equipos</t>
  </si>
  <si>
    <t xml:space="preserve">equipos_contrato</t>
  </si>
  <si>
    <t xml:space="preserve">Flota del contrato. Mismos filtros y formato que `GET /equipos`.</t>
  </si>
  <si>
    <t xml:space="preserve">/api/v1/contratos/{contrato_id}/historial</t>
  </si>
  <si>
    <t xml:space="preserve">historial_contrato</t>
  </si>
  <si>
    <t xml:space="preserve">Actividad relacionada con el contrato, la más reciente primero.</t>
  </si>
  <si>
    <t xml:space="preserve">/api/v1/contratos/{contrato_id}/matriz</t>
  </si>
  <si>
    <t xml:space="preserve">matriz</t>
  </si>
  <si>
    <t xml:space="preserve">Matriz dispersa sujeto × requisito del contrato (§8.4).</t>
  </si>
  <si>
    <t xml:space="preserve">/api/v1/contratos/{contrato_id}/personal</t>
  </si>
  <si>
    <t xml:space="preserve">personal_contrato</t>
  </si>
  <si>
    <t xml:space="preserve">Personal del contrato. Mismos filtros y formato que `GET /personal`.</t>
  </si>
  <si>
    <t xml:space="preserve">routers/dashboard.py</t>
  </si>
  <si>
    <t xml:space="preserve">/api/v1/dashboard/acreditaciones-estado</t>
  </si>
  <si>
    <t xml:space="preserve">acreditaciones</t>
  </si>
  <si>
    <t xml:space="preserve">Reparto de sujetos por estado de acreditación (dona del dashboard).</t>
  </si>
  <si>
    <t xml:space="preserve">/api/v1/dashboard/actividad</t>
  </si>
  <si>
    <t xml:space="preserve">feed</t>
  </si>
  <si>
    <t xml:space="preserve">Últimas acciones de la empresa. El historial completo está en /actividad.</t>
  </si>
  <si>
    <t xml:space="preserve">/api/v1/dashboard/cumplimiento-contratos</t>
  </si>
  <si>
    <t xml:space="preserve">cumplimiento</t>
  </si>
  <si>
    <t xml:space="preserve">Cumplimiento contrato a contrato, con el mismo cálculo que su ficha.</t>
  </si>
  <si>
    <t xml:space="preserve">/api/v1/dashboard/kpis</t>
  </si>
  <si>
    <t xml:space="preserve">kpis</t>
  </si>
  <si>
    <t xml:space="preserve">Tarjetas de cabecera: contratos, dotación, cumplimiento y alertas.</t>
  </si>
  <si>
    <t xml:space="preserve">/api/v1/dashboard/proximos-vencimientos</t>
  </si>
  <si>
    <t xml:space="preserve">vencimientos</t>
  </si>
  <si>
    <t xml:space="preserve">Documentos vigentes que vencen dentro de la ventana pedida.</t>
  </si>
  <si>
    <t xml:space="preserve">/api/v1/dashboard/tendencia</t>
  </si>
  <si>
    <t xml:space="preserve">tendencia</t>
  </si>
  <si>
    <t xml:space="preserve">Evolución del cumplimiento a partir de `cumplimiento_snapshots`.</t>
  </si>
  <si>
    <t xml:space="preserve">routers/documentos.py</t>
  </si>
  <si>
    <t xml:space="preserve">/api/v1/documentos</t>
  </si>
  <si>
    <t xml:space="preserve">Todos los documentos de la empresa, con su dueño resuelto.</t>
  </si>
  <si>
    <t xml:space="preserve">/api/v1/documentos/{doc_id}</t>
  </si>
  <si>
    <t xml:space="preserve">Marca el documento a mano (ok / falta) y fija o deriva su vencimiento.</t>
  </si>
  <si>
    <t xml:space="preserve">/api/v1/documentos/{doc_id}/archivos</t>
  </si>
  <si>
    <t xml:space="preserve">confirmar_archivo</t>
  </si>
  <si>
    <t xml:space="preserve">Confirma un archivo ya subido por SAS y encola su revisión IA.</t>
  </si>
  <si>
    <t xml:space="preserve">/api/v1/documentos/{doc_id}/archivos/{archivo_id}</t>
  </si>
  <si>
    <t xml:space="preserve">borrar_archivo</t>
  </si>
  <si>
    <t xml:space="preserve">Borra el archivo y su blob. Sin archivos, el documento vuelve a `falta`.</t>
  </si>
  <si>
    <t xml:space="preserve">/api/v1/documentos/{doc_id}/archivos/{archivo_id}/download-url</t>
  </si>
  <si>
    <t xml:space="preserve">download_url</t>
  </si>
  <si>
    <t xml:space="preserve">Emite una SAS de lectura de corta vida para descargar el archivo.</t>
  </si>
  <si>
    <t xml:space="preserve">/api/v1/documentos/{doc_id}/upload-url</t>
  </si>
  <si>
    <t xml:space="preserve">upload_url</t>
  </si>
  <si>
    <t xml:space="preserve">Emite la SAS de escritura para subir el archivo sin pasar por la API.</t>
  </si>
  <si>
    <t xml:space="preserve">routers/company.py</t>
  </si>
  <si>
    <t xml:space="preserve">/api/v1/company</t>
  </si>
  <si>
    <t xml:space="preserve">perfil</t>
  </si>
  <si>
    <t xml:space="preserve">Perfil de la empresa del token con su cumplimiento global.</t>
  </si>
  <si>
    <t xml:space="preserve">editar_perfil</t>
  </si>
  <si>
    <t xml:space="preserve">Actualiza los datos de contacto. RUT y status no son editables aquí.</t>
  </si>
  <si>
    <t xml:space="preserve">/api/v1/company/usuarios</t>
  </si>
  <si>
    <t xml:space="preserve">listar_usuarios</t>
  </si>
  <si>
    <t xml:space="preserve">Usuarios de la empresa. Un contract_admin solo ve los de su contrato.</t>
  </si>
  <si>
    <t xml:space="preserve">invitar_usuario</t>
  </si>
  <si>
    <t xml:space="preserve">Invita un usuario a la empresa.</t>
  </si>
  <si>
    <t xml:space="preserve">/api/v1/company/usuarios/{uid}</t>
  </si>
  <si>
    <t xml:space="preserve">desactivar_usuario</t>
  </si>
  <si>
    <t xml:space="preserve">Baja lógica: el usuario nunca se borra para no perder la trazabilidad de</t>
  </si>
  <si>
    <t xml:space="preserve">editar_usuario</t>
  </si>
  <si>
    <t xml:space="preserve">Cambia nombre, rol, contrato o actividad de un usuario.</t>
  </si>
  <si>
    <t xml:space="preserve">routers/faenas.py</t>
  </si>
  <si>
    <t xml:space="preserve">/api/v1/catalogo/ejemplos</t>
  </si>
  <si>
    <t xml:space="preserve">ejemplos</t>
  </si>
  <si>
    <t xml:space="preserve">Biblioteca de ejemplos documentales (§7.2).</t>
  </si>
  <si>
    <t xml:space="preserve">/api/v1/catalogo/ejemplos/{clave}</t>
  </si>
  <si>
    <t xml:space="preserve">ejemplo</t>
  </si>
  <si>
    <t xml:space="preserve">/api/v1/catalogo/laboratorios</t>
  </si>
  <si>
    <t xml:space="preserve">laboratorios</t>
  </si>
  <si>
    <t xml:space="preserve">Laboratorios y centros médicos homologados para exámenes de altura.</t>
  </si>
  <si>
    <t xml:space="preserve">/api/v1/catalogo/proveedores-gps</t>
  </si>
  <si>
    <t xml:space="preserve">proveedores_gps</t>
  </si>
  <si>
    <t xml:space="preserve">Proveedores GPS aceptados por el mandante (multiflota).</t>
  </si>
  <si>
    <t xml:space="preserve">/api/v1/catalogo/requisitos-templates</t>
  </si>
  <si>
    <t xml:space="preserve">templates</t>
  </si>
  <si>
    <t xml:space="preserve">Plantillas activas del catálogo global (lectura).</t>
  </si>
  <si>
    <t xml:space="preserve">/api/v1/catalogo/requisitos-terreno</t>
  </si>
  <si>
    <t xml:space="preserve">requisitos_terreno</t>
  </si>
  <si>
    <t xml:space="preserve">Requisitos NO documentales que se verifican en terreno (Reglamento MLP).</t>
  </si>
  <si>
    <t xml:space="preserve">/api/v1/catalogo/talleres</t>
  </si>
  <si>
    <t xml:space="preserve">talleres</t>
  </si>
  <si>
    <t xml:space="preserve">Talleres homologados para mantenciones y certificados de operatividad.</t>
  </si>
  <si>
    <t xml:space="preserve">/api/v1/catalogo/tipos-equipo</t>
  </si>
  <si>
    <t xml:space="preserve">tipos_equipo</t>
  </si>
  <si>
    <t xml:space="preserve">Vocabulario cerrado de `sujetos.tipo_equipo`. No es una tabla.</t>
  </si>
  <si>
    <t xml:space="preserve">/api/v1/faenas</t>
  </si>
  <si>
    <t xml:space="preserve">list_faenas</t>
  </si>
  <si>
    <t xml:space="preserve">Faenas del catálogo con la presencia de la empresa en cada una.</t>
  </si>
  <si>
    <t xml:space="preserve">/api/v1/faenas/{faena_id}</t>
  </si>
  <si>
    <t xml:space="preserve">detalle_faena</t>
  </si>
  <si>
    <t xml:space="preserve">Ficha de la faena: mandante, branding, coordenadas y plataformas.</t>
  </si>
  <si>
    <t xml:space="preserve">/api/v1/faenas/{faena_id}/plataformas</t>
  </si>
  <si>
    <t xml:space="preserve">plataformas</t>
  </si>
  <si>
    <t xml:space="preserve">Plataformas del mandante en la faena, con el acceso de la empresa.</t>
  </si>
  <si>
    <t xml:space="preserve">/api/v1/faenas/{faena_id}/plataformas/{pid}/acceso</t>
  </si>
  <si>
    <t xml:space="preserve">editar_acceso</t>
  </si>
  <si>
    <t xml:space="preserve">Registra el estado de acceso de la empresa a una plataforma del mandante.</t>
  </si>
  <si>
    <t xml:space="preserve">routers/integraciones.py</t>
  </si>
  <si>
    <t xml:space="preserve">/api/v1/integraciones</t>
  </si>
  <si>
    <t xml:space="preserve">Integraciones de la empresa con su estado y el volumen sincronizado.</t>
  </si>
  <si>
    <t xml:space="preserve">Conecta una integración. El secreto NO se guarda en la base.</t>
  </si>
  <si>
    <t xml:space="preserve">/api/v1/integraciones/{integracion_id}</t>
  </si>
  <si>
    <t xml:space="preserve">Desconecta la integración y borra la referencia a su secreto.</t>
  </si>
  <si>
    <t xml:space="preserve">Activa o desactiva la integración, actualiza `config` o rota el secreto.</t>
  </si>
  <si>
    <t xml:space="preserve">/api/v1/integraciones/{integracion_id}/logs</t>
  </si>
  <si>
    <t xml:space="preserve">listar_logs</t>
  </si>
  <si>
    <t xml:space="preserve">Historial de sincronizaciones de la integración, la más reciente primero.</t>
  </si>
  <si>
    <t xml:space="preserve">/api/v1/integraciones/{integracion_id}/sync</t>
  </si>
  <si>
    <t xml:space="preserve">sincronizar</t>
  </si>
  <si>
    <t xml:space="preserve">Dispara una sincronización manual (job asíncrono).</t>
  </si>
  <si>
    <t xml:space="preserve">routers/licencia_interna.py</t>
  </si>
  <si>
    <t xml:space="preserve">/api/v1/personal/{sid}/licencia-interna</t>
  </si>
  <si>
    <t xml:space="preserve">Licencia interna del trabajador y checklist de los nueve documentos EMSIPOR.</t>
  </si>
  <si>
    <t xml:space="preserve">Registra el número y el vencimiento de la licencia que emitió el mandante.</t>
  </si>
  <si>
    <t xml:space="preserve">/api/v1/personal/{sid}/licencia-interna/reset</t>
  </si>
  <si>
    <t xml:space="preserve">reset</t>
  </si>
  <si>
    <t xml:space="preserve">Reinicia el expediente EMSIPOR del trabajador. Irreversible.</t>
  </si>
  <si>
    <t xml:space="preserve">routers/notificaciones.py</t>
  </si>
  <si>
    <t xml:space="preserve">/api/v1/notificaciones/preferencias</t>
  </si>
  <si>
    <t xml:space="preserve">listar_preferencias</t>
  </si>
  <si>
    <t xml:space="preserve">Preferencias efectivas de la empresa, con su origen.</t>
  </si>
  <si>
    <t xml:space="preserve">editar_preferencias</t>
  </si>
  <si>
    <t xml:space="preserve">Upsert de preferencias por `(company_id, user_id, evento)`.</t>
  </si>
  <si>
    <t xml:space="preserve">routers/sujetos.py</t>
  </si>
  <si>
    <t xml:space="preserve">/api/v1/equipos</t>
  </si>
  <si>
    <t xml:space="preserve">listar_equipos</t>
  </si>
  <si>
    <t xml:space="preserve">Flota de la empresa.</t>
  </si>
  <si>
    <t xml:space="preserve">crear_equipo</t>
  </si>
  <si>
    <t xml:space="preserve">Da de alta un equipo o vehículo e instancia su checklist.</t>
  </si>
  <si>
    <t xml:space="preserve">/api/v1/equipos/{sid}</t>
  </si>
  <si>
    <t xml:space="preserve">eliminar_equipo</t>
  </si>
  <si>
    <t xml:space="preserve">detalle_equipo</t>
  </si>
  <si>
    <t xml:space="preserve">editar_equipo</t>
  </si>
  <si>
    <t xml:space="preserve">/api/v1/equipos/{sid}/baja</t>
  </si>
  <si>
    <t xml:space="preserve">baja_equipo</t>
  </si>
  <si>
    <t xml:space="preserve">/api/v1/equipos/{sid}/documentos</t>
  </si>
  <si>
    <t xml:space="preserve">docs_equipo</t>
  </si>
  <si>
    <t xml:space="preserve">Checklist del equipo (el detalle del sujeto ya lo embebe).</t>
  </si>
  <si>
    <t xml:space="preserve">/api/v1/personal</t>
  </si>
  <si>
    <t xml:space="preserve">listar_personal</t>
  </si>
  <si>
    <t xml:space="preserve">Dotación de personal de la empresa.</t>
  </si>
  <si>
    <t xml:space="preserve">crear_trabajador</t>
  </si>
  <si>
    <t xml:space="preserve">Da de alta un trabajador e instancia su checklist.</t>
  </si>
  <si>
    <t xml:space="preserve">/api/v1/personal/{sid}</t>
  </si>
  <si>
    <t xml:space="preserve">eliminar_trabajador</t>
  </si>
  <si>
    <t xml:space="preserve">detalle_trabajador</t>
  </si>
  <si>
    <t xml:space="preserve">editar_trabajador</t>
  </si>
  <si>
    <t xml:space="preserve">Edita al trabajador y recalcula el expediente EMSIPOR si el cargo cambió.</t>
  </si>
  <si>
    <t xml:space="preserve">/api/v1/personal/{sid}/baja</t>
  </si>
  <si>
    <t xml:space="preserve">baja_trabajador</t>
  </si>
  <si>
    <t xml:space="preserve">/api/v1/personal/{sid}/documentos</t>
  </si>
  <si>
    <t xml:space="preserve">docs_trabajador</t>
  </si>
  <si>
    <t xml:space="preserve">Checklist del trabajador (el detalle del sujeto ya lo embebe).</t>
  </si>
  <si>
    <t xml:space="preserve">routers/personas.py</t>
  </si>
  <si>
    <t xml:space="preserve">/api/v1/flota</t>
  </si>
  <si>
    <t xml:space="preserve">listar_flota</t>
  </si>
  <si>
    <t xml:space="preserve">Equipos de la empresa agrupados por patente.</t>
  </si>
  <si>
    <t xml:space="preserve">/api/v1/flota/{patente}</t>
  </si>
  <si>
    <t xml:space="preserve">ficha_equipo</t>
  </si>
  <si>
    <t xml:space="preserve">Ficha consolidada del equipo con todos los contratos en que opera.</t>
  </si>
  <si>
    <t xml:space="preserve">/api/v1/personas</t>
  </si>
  <si>
    <t xml:space="preserve">listar_personas</t>
  </si>
  <si>
    <t xml:space="preserve">Personas de la empresa agrupadas por RUT, con su cumplimiento agregado.</t>
  </si>
  <si>
    <t xml:space="preserve">/api/v1/personas/{rut}</t>
  </si>
  <si>
    <t xml:space="preserve">ficha_persona</t>
  </si>
  <si>
    <t xml:space="preserve">Ficha consolidada de la persona: todos sus registros y su licencia.</t>
  </si>
  <si>
    <t xml:space="preserve">routers/plataformas.py</t>
  </si>
  <si>
    <t xml:space="preserve">/api/v1/contratos/{contrato_id}/plataformas</t>
  </si>
  <si>
    <t xml:space="preserve">listar_plataformas</t>
  </si>
  <si>
    <t xml:space="preserve">Plataformas efectivas del contrato, heredadas de la faena o propias.</t>
  </si>
  <si>
    <t xml:space="preserve">crear_plataforma</t>
  </si>
  <si>
    <t xml:space="preserve">Añade una plataforma manual al contrato, materializando antes la herencia.</t>
  </si>
  <si>
    <t xml:space="preserve">/api/v1/contratos/{contrato_id}/plataformas/{pid}</t>
  </si>
  <si>
    <t xml:space="preserve">eliminar_plataforma</t>
  </si>
  <si>
    <t xml:space="preserve">Elimina una plataforma manual del contrato y todo lo que cuelga de ella.</t>
  </si>
  <si>
    <t xml:space="preserve">editar_plataforma</t>
  </si>
  <si>
    <t xml:space="preserve">Edita una plataforma del contrato.</t>
  </si>
  <si>
    <t xml:space="preserve">/api/v1/contratos/{contrato_id}/plataformas/{pid}/solicitar-acceso</t>
  </si>
  <si>
    <t xml:space="preserve">solicitar_acceso</t>
  </si>
  <si>
    <t xml:space="preserve">Marca la plataforma como solicitada y avisa por la integración si existe.</t>
  </si>
  <si>
    <t xml:space="preserve">/api/v1/contratos/{contrato_id}/plataformas/{pid}/usuarios</t>
  </si>
  <si>
    <t xml:space="preserve">Cuentas de acceso de la plataforma, sin secretos.</t>
  </si>
  <si>
    <t xml:space="preserve">crear_usuario</t>
  </si>
  <si>
    <t xml:space="preserve">Guarda una cuenta de plataforma cifrando el secreto en un JWE.</t>
  </si>
  <si>
    <t xml:space="preserve">/api/v1/contratos/{contrato_id}/plataformas/{pid}/usuarios/{uid}</t>
  </si>
  <si>
    <t xml:space="preserve">eliminar_usuario</t>
  </si>
  <si>
    <t xml:space="preserve">Elimina la cuenta. El historial de versiones cae por cascada de la BD.</t>
  </si>
  <si>
    <t xml:space="preserve">Edita los metadatos de la cuenta o la revoca.</t>
  </si>
  <si>
    <t xml:space="preserve">/api/v1/contratos/{contrato_id}/plataformas/{pid}/usuarios/{uid}/rotar</t>
  </si>
  <si>
    <t xml:space="preserve">rotar_usuario</t>
  </si>
  <si>
    <t xml:space="preserve">Sustituye el secreto por un JWE nuevo.</t>
  </si>
  <si>
    <t xml:space="preserve">/api/v1/contratos/{contrato_id}/plataformas/{pid}/usuarios/{uid}/usos</t>
  </si>
  <si>
    <t xml:space="preserve">usos_usuario</t>
  </si>
  <si>
    <t xml:space="preserve">Historial de la cuenta: rotaciones archivadas y actividad registrada.</t>
  </si>
  <si>
    <t xml:space="preserve">routers/reportes.py</t>
  </si>
  <si>
    <t xml:space="preserve">/api/v1/exportaciones</t>
  </si>
  <si>
    <t xml:space="preserve">exportar</t>
  </si>
  <si>
    <t xml:space="preserve">Exporta la tabla en pantalla a Excel o CSV.</t>
  </si>
  <si>
    <t xml:space="preserve">/api/v1/reportes</t>
  </si>
  <si>
    <t xml:space="preserve">Historial de reportes generados por la empresa, el más reciente primero.</t>
  </si>
  <si>
    <t xml:space="preserve">Encola la generación de un reporte.</t>
  </si>
  <si>
    <t xml:space="preserve">/api/v1/reportes/programados</t>
  </si>
  <si>
    <t xml:space="preserve">listar_programados</t>
  </si>
  <si>
    <t xml:space="preserve">Programaciones de reportes recurrentes de la empresa.</t>
  </si>
  <si>
    <t xml:space="preserve">crear_programado</t>
  </si>
  <si>
    <t xml:space="preserve">Programa la generación recurrente de un reporte.</t>
  </si>
  <si>
    <t xml:space="preserve">/api/v1/reportes/programados/{programado_id}</t>
  </si>
  <si>
    <t xml:space="preserve">eliminar_programado</t>
  </si>
  <si>
    <t xml:space="preserve">Elimina una programación. Los reportes ya generados se conservan.</t>
  </si>
  <si>
    <t xml:space="preserve">editar_programado</t>
  </si>
  <si>
    <t xml:space="preserve">Edita una programación: nombre, tipo, formato, params, cron o activo.</t>
  </si>
  <si>
    <t xml:space="preserve">/api/v1/reportes/{reporte_id}</t>
  </si>
  <si>
    <t xml:space="preserve">Estado del job y metadatos del reporte (endpoint de polling).</t>
  </si>
  <si>
    <t xml:space="preserve">/api/v1/reportes/{reporte_id}/download-url</t>
  </si>
  <si>
    <t xml:space="preserve">SAS de lectura del archivo generado.</t>
  </si>
  <si>
    <t xml:space="preserve">routers/requisitos.py</t>
  </si>
  <si>
    <t xml:space="preserve">/api/v1/requisitos</t>
  </si>
  <si>
    <t xml:space="preserve">Catálogo de requisitos con el estado real de la empresa en cada uno.</t>
  </si>
  <si>
    <t xml:space="preserve">/api/v1/requisitos/templates</t>
  </si>
  <si>
    <t xml:space="preserve">Plantillas vigentes para la empresa, en modo lectura.</t>
  </si>
  <si>
    <t xml:space="preserve">routers/ia.py</t>
  </si>
  <si>
    <t xml:space="preserve">/api/v1/ia/extraer-carpeta-arranque</t>
  </si>
  <si>
    <t xml:space="preserve">extraer_carpeta_arranque</t>
  </si>
  <si>
    <t xml:space="preserve">Lee una planilla o PDF de carpeta de arranque y propone requisitos por ámbito.</t>
  </si>
  <si>
    <t xml:space="preserve">/api/v1/ia/extraer-contrato</t>
  </si>
  <si>
    <t xml:space="preserve">extraer_contrato</t>
  </si>
  <si>
    <t xml:space="preserve">Lee un contrato en PDF o Word y propone mandante, faena, fechas y servicio.</t>
  </si>
  <si>
    <t xml:space="preserve">/api/v1/ia/extraer-sujeto</t>
  </si>
  <si>
    <t xml:space="preserve">extraer_sujeto</t>
  </si>
  <si>
    <t xml:space="preserve">Lee una cédula o un padrón y propone los campos del alta.</t>
  </si>
  <si>
    <t xml:space="preserve">/api/v1/ia/revisiones</t>
  </si>
  <si>
    <t xml:space="preserve">listar_revisiones</t>
  </si>
  <si>
    <t xml:space="preserve">Historial de revisiones y extracciones de la empresa, la más reciente primero.</t>
  </si>
  <si>
    <t xml:space="preserve">encolar_revision</t>
  </si>
  <si>
    <t xml:space="preserve">Encola la revisión IA de un archivo ya subido.</t>
  </si>
  <si>
    <t xml:space="preserve">/api/v1/ia/revisiones/{job_id}</t>
  </si>
  <si>
    <t xml:space="preserve">detalle_revision</t>
  </si>
  <si>
    <t xml:space="preserve">Estado y resultado de un job de IA (endpoint de polling).</t>
  </si>
  <si>
    <t xml:space="preserve">/api/v1/ia/upload-url</t>
  </si>
  <si>
    <t xml:space="preserve">upload_url_temporal</t>
  </si>
  <si>
    <t xml:space="preserve">SAS de escritura para un blob temporal de extracción.</t>
  </si>
  <si>
    <t xml:space="preserve">routers/suscripcion.py</t>
  </si>
  <si>
    <t xml:space="preserve">/api/v1/admin/planes</t>
  </si>
  <si>
    <t xml:space="preserve">Catálogo completo, incluidos los planes retirados (`activo=false`).</t>
  </si>
  <si>
    <t xml:space="preserve">Crea un plan comercial. `nombre` es único en la tabla.</t>
  </si>
  <si>
    <t xml:space="preserve">/api/v1/admin/planes/{plan_id}</t>
  </si>
  <si>
    <t xml:space="preserve">Edita o desactiva un plan.</t>
  </si>
  <si>
    <t xml:space="preserve">/api/v1/facturas</t>
  </si>
  <si>
    <t xml:space="preserve">listar_facturas</t>
  </si>
  <si>
    <t xml:space="preserve">Historial de facturas de la empresa, la más reciente primero.</t>
  </si>
  <si>
    <t xml:space="preserve">/api/v1/facturas/{factura_id}/download-url</t>
  </si>
  <si>
    <t xml:space="preserve">SAS de lectura del PDF de la factura.</t>
  </si>
  <si>
    <t xml:space="preserve">/api/v1/planes</t>
  </si>
  <si>
    <t xml:space="preserve">listar_planes</t>
  </si>
  <si>
    <t xml:space="preserve">Catálogo público de planes activos.</t>
  </si>
  <si>
    <t xml:space="preserve">/api/v1/suscripcion</t>
  </si>
  <si>
    <t xml:space="preserve">cancelar</t>
  </si>
  <si>
    <t xml:space="preserve">Cancela al término del periodo vigente.</t>
  </si>
  <si>
    <t xml:space="preserve">Suscripción vigente de la empresa, con el plan y el estado de acceso.</t>
  </si>
  <si>
    <t xml:space="preserve">contratar</t>
  </si>
  <si>
    <t xml:space="preserve">Contrata o cambia de plan.</t>
  </si>
  <si>
    <t xml:space="preserve">routers/webhooks.py</t>
  </si>
  <si>
    <t xml:space="preserve">/api/v1/webhooks/pagos</t>
  </si>
  <si>
    <t xml:space="preserve">pagos_entrante</t>
  </si>
  <si>
    <t xml:space="preserve">Concilia un pago notificado por la pasarela (§17).</t>
  </si>
  <si>
    <t xml:space="preserve">/api/v1/webhooks/whatsapp</t>
  </si>
  <si>
    <t xml:space="preserve">verificar_whatsapp</t>
  </si>
  <si>
    <t xml:space="preserve">Handshake de verificación de Meta.</t>
  </si>
  <si>
    <t xml:space="preserve">whatsapp_entrante</t>
  </si>
  <si>
    <t xml:space="preserve">Recibe eventos de WhatsApp Business firmados por Meta.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</si>
</sst>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Calibri"/>
      <family val="0"/>
      <charset val="1"/>
    </font>
    <font>
      <sz val="18"/>
      <name val="Calibri"/>
      <family val="0"/>
      <charset val="1"/>
    </font>
    <font>
      <i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366091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  <font>
      <sz val="9"/>
      <color rgb="FF7F7F7F"/>
      <name val="Calibri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1F3864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F81BD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660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828360</xdr:colOff>
      <xdr:row>4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59056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"/>
  </cols>
  <sheetData>
    <row r="8" customFormat="false" ht="29.15" hidden="false" customHeight="false" outlineLevel="0" collapsed="false">
      <c r="B8" s="1" t="s">
        <v>0</v>
      </c>
    </row>
    <row r="9" customFormat="false" ht="22.05" hidden="false" customHeight="false" outlineLevel="0" collapsed="false">
      <c r="B9" s="2" t="s">
        <v>1</v>
      </c>
    </row>
    <row r="10" customFormat="false" ht="17.35" hidden="false" customHeight="false" outlineLevel="0" collapsed="false">
      <c r="B10" s="3" t="s">
        <v>2</v>
      </c>
      <c r="C10" s="4"/>
      <c r="D10" s="4"/>
      <c r="E10" s="4"/>
    </row>
    <row r="12" customFormat="false" ht="15" hidden="false" customHeight="false" outlineLevel="0" collapsed="false">
      <c r="B12" s="5" t="s">
        <v>3</v>
      </c>
    </row>
    <row r="13" customFormat="false" ht="15" hidden="false" customHeight="false" outlineLevel="0" collapsed="false">
      <c r="B13" s="5" t="s">
        <v>4</v>
      </c>
    </row>
    <row r="15" customFormat="false" ht="15" hidden="false" customHeight="false" outlineLevel="0" collapsed="false">
      <c r="B15" s="6" t="s">
        <v>5</v>
      </c>
    </row>
    <row r="16" customFormat="false" ht="15" hidden="false" customHeight="false" outlineLevel="0" collapsed="false">
      <c r="B16" s="5" t="s">
        <v>6</v>
      </c>
      <c r="D16" s="7" t="s">
        <v>7</v>
      </c>
      <c r="E16" s="7"/>
    </row>
    <row r="17" customFormat="false" ht="15" hidden="false" customHeight="false" outlineLevel="0" collapsed="false">
      <c r="B17" s="5" t="s">
        <v>8</v>
      </c>
      <c r="D17" s="7" t="s">
        <v>9</v>
      </c>
      <c r="E17" s="7"/>
    </row>
    <row r="19" customFormat="false" ht="15" hidden="false" customHeight="false" outlineLevel="0" collapsed="false">
      <c r="B19" s="6" t="s">
        <v>10</v>
      </c>
    </row>
    <row r="20" customFormat="false" ht="15" hidden="false" customHeight="false" outlineLevel="0" collapsed="false">
      <c r="B20" s="8" t="s">
        <v>11</v>
      </c>
      <c r="C20" s="8" t="s">
        <v>12</v>
      </c>
      <c r="D20" s="8" t="s">
        <v>13</v>
      </c>
      <c r="E20" s="8" t="s">
        <v>14</v>
      </c>
    </row>
    <row r="21" customFormat="false" ht="15" hidden="false" customHeight="false" outlineLevel="0" collapsed="false">
      <c r="B21" s="9" t="s">
        <v>4</v>
      </c>
      <c r="C21" s="9" t="s">
        <v>15</v>
      </c>
      <c r="D21" s="9" t="s">
        <v>16</v>
      </c>
      <c r="E21" s="9" t="s">
        <v>17</v>
      </c>
    </row>
    <row r="24" customFormat="false" ht="15" hidden="false" customHeight="false" outlineLevel="0" collapsed="false">
      <c r="B24" s="10" t="s">
        <v>18</v>
      </c>
    </row>
  </sheetData>
  <mergeCells count="2">
    <mergeCell ref="D16:E16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32"/>
    <col collapsed="false" customWidth="true" hidden="false" outlineLevel="0" max="5" min="2" style="11" width="8"/>
    <col collapsed="false" customWidth="true" hidden="false" outlineLevel="0" max="6" min="6" style="11" width="10"/>
    <col collapsed="false" customWidth="true" hidden="false" outlineLevel="0" max="7" min="7" style="11" width="8"/>
  </cols>
  <sheetData>
    <row r="1" customFormat="false" ht="17.25" hidden="false" customHeight="true" outlineLevel="0" collapsed="false">
      <c r="A1" s="12" t="s">
        <v>19</v>
      </c>
    </row>
    <row r="2" customFormat="false" ht="15" hidden="false" customHeight="true" outlineLevel="0" collapsed="false">
      <c r="A2" s="13" t="s">
        <v>20</v>
      </c>
    </row>
    <row r="4" customFormat="false" ht="15" hidden="false" customHeight="tru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</row>
    <row r="5" customFormat="false" ht="15" hidden="false" customHeight="true" outlineLevel="0" collapsed="false">
      <c r="A5" s="15" t="s">
        <v>28</v>
      </c>
      <c r="B5" s="15" t="n">
        <f aca="false">COUNTIFS(Endpoints!$A$2:$A$162,$A5,Endpoints!$C$2:$C$162,"GET")</f>
        <v>4</v>
      </c>
      <c r="C5" s="15" t="n">
        <f aca="false">COUNTIFS(Endpoints!$A$2:$A$162,$A5,Endpoints!$C$2:$C$162,"POST")</f>
        <v>6</v>
      </c>
      <c r="D5" s="15" t="n">
        <f aca="false">COUNTIFS(Endpoints!$A$2:$A$162,$A5,Endpoints!$C$2:$C$162,"PUT")</f>
        <v>0</v>
      </c>
      <c r="E5" s="15" t="n">
        <f aca="false">COUNTIFS(Endpoints!$A$2:$A$162,$A5,Endpoints!$C$2:$C$162,"PATCH")</f>
        <v>2</v>
      </c>
      <c r="F5" s="15" t="n">
        <f aca="false">COUNTIFS(Endpoints!$A$2:$A$162,$A5,Endpoints!$C$2:$C$162,"DELETE")</f>
        <v>1</v>
      </c>
      <c r="G5" s="15" t="n">
        <f aca="false">SUM(B5:F5)</f>
        <v>13</v>
      </c>
    </row>
    <row r="6" customFormat="false" ht="15" hidden="false" customHeight="true" outlineLevel="0" collapsed="false">
      <c r="A6" s="15" t="s">
        <v>29</v>
      </c>
      <c r="B6" s="15" t="n">
        <f aca="false">COUNTIFS(Endpoints!$A$2:$A$162,$A6,Endpoints!$C$2:$C$162,"GET")</f>
        <v>2</v>
      </c>
      <c r="C6" s="15" t="n">
        <f aca="false">COUNTIFS(Endpoints!$A$2:$A$162,$A6,Endpoints!$C$2:$C$162,"POST")</f>
        <v>1</v>
      </c>
      <c r="D6" s="15" t="n">
        <f aca="false">COUNTIFS(Endpoints!$A$2:$A$162,$A6,Endpoints!$C$2:$C$162,"PUT")</f>
        <v>0</v>
      </c>
      <c r="E6" s="15" t="n">
        <f aca="false">COUNTIFS(Endpoints!$A$2:$A$162,$A6,Endpoints!$C$2:$C$162,"PATCH")</f>
        <v>1</v>
      </c>
      <c r="F6" s="15" t="n">
        <f aca="false">COUNTIFS(Endpoints!$A$2:$A$162,$A6,Endpoints!$C$2:$C$162,"DELETE")</f>
        <v>0</v>
      </c>
      <c r="G6" s="15" t="n">
        <f aca="false">SUM(B6:F6)</f>
        <v>4</v>
      </c>
    </row>
    <row r="7" customFormat="false" ht="15" hidden="false" customHeight="true" outlineLevel="0" collapsed="false">
      <c r="A7" s="15" t="s">
        <v>30</v>
      </c>
      <c r="B7" s="15" t="n">
        <f aca="false">COUNTIFS(Endpoints!$A$2:$A$162,$A7,Endpoints!$C$2:$C$162,"GET")</f>
        <v>1</v>
      </c>
      <c r="C7" s="15" t="n">
        <f aca="false">COUNTIFS(Endpoints!$A$2:$A$162,$A7,Endpoints!$C$2:$C$162,"POST")</f>
        <v>0</v>
      </c>
      <c r="D7" s="15" t="n">
        <f aca="false">COUNTIFS(Endpoints!$A$2:$A$162,$A7,Endpoints!$C$2:$C$162,"PUT")</f>
        <v>1</v>
      </c>
      <c r="E7" s="15" t="n">
        <f aca="false">COUNTIFS(Endpoints!$A$2:$A$162,$A7,Endpoints!$C$2:$C$162,"PATCH")</f>
        <v>0</v>
      </c>
      <c r="F7" s="15" t="n">
        <f aca="false">COUNTIFS(Endpoints!$A$2:$A$162,$A7,Endpoints!$C$2:$C$162,"DELETE")</f>
        <v>0</v>
      </c>
      <c r="G7" s="15" t="n">
        <f aca="false">SUM(B7:F7)</f>
        <v>2</v>
      </c>
    </row>
    <row r="8" customFormat="false" ht="15" hidden="false" customHeight="true" outlineLevel="0" collapsed="false">
      <c r="A8" s="15" t="s">
        <v>31</v>
      </c>
      <c r="B8" s="15" t="n">
        <f aca="false">COUNTIFS(Endpoints!$A$2:$A$162,$A8,Endpoints!$C$2:$C$162,"GET")</f>
        <v>1</v>
      </c>
      <c r="C8" s="15" t="n">
        <f aca="false">COUNTIFS(Endpoints!$A$2:$A$162,$A8,Endpoints!$C$2:$C$162,"POST")</f>
        <v>0</v>
      </c>
      <c r="D8" s="15" t="n">
        <f aca="false">COUNTIFS(Endpoints!$A$2:$A$162,$A8,Endpoints!$C$2:$C$162,"PUT")</f>
        <v>0</v>
      </c>
      <c r="E8" s="15" t="n">
        <f aca="false">COUNTIFS(Endpoints!$A$2:$A$162,$A8,Endpoints!$C$2:$C$162,"PATCH")</f>
        <v>0</v>
      </c>
      <c r="F8" s="15" t="n">
        <f aca="false">COUNTIFS(Endpoints!$A$2:$A$162,$A8,Endpoints!$C$2:$C$162,"DELETE")</f>
        <v>0</v>
      </c>
      <c r="G8" s="15" t="n">
        <f aca="false">SUM(B8:F8)</f>
        <v>1</v>
      </c>
    </row>
    <row r="9" customFormat="false" ht="15" hidden="false" customHeight="true" outlineLevel="0" collapsed="false">
      <c r="A9" s="15" t="s">
        <v>32</v>
      </c>
      <c r="B9" s="15" t="n">
        <f aca="false">COUNTIFS(Endpoints!$A$2:$A$162,$A9,Endpoints!$C$2:$C$162,"GET")</f>
        <v>1</v>
      </c>
      <c r="C9" s="15" t="n">
        <f aca="false">COUNTIFS(Endpoints!$A$2:$A$162,$A9,Endpoints!$C$2:$C$162,"POST")</f>
        <v>6</v>
      </c>
      <c r="D9" s="15" t="n">
        <f aca="false">COUNTIFS(Endpoints!$A$2:$A$162,$A9,Endpoints!$C$2:$C$162,"PUT")</f>
        <v>0</v>
      </c>
      <c r="E9" s="15" t="n">
        <f aca="false">COUNTIFS(Endpoints!$A$2:$A$162,$A9,Endpoints!$C$2:$C$162,"PATCH")</f>
        <v>1</v>
      </c>
      <c r="F9" s="15" t="n">
        <f aca="false">COUNTIFS(Endpoints!$A$2:$A$162,$A9,Endpoints!$C$2:$C$162,"DELETE")</f>
        <v>0</v>
      </c>
      <c r="G9" s="15" t="n">
        <f aca="false">SUM(B9:F9)</f>
        <v>8</v>
      </c>
    </row>
    <row r="10" customFormat="false" ht="15" hidden="false" customHeight="true" outlineLevel="0" collapsed="false">
      <c r="A10" s="15" t="s">
        <v>33</v>
      </c>
      <c r="B10" s="15" t="n">
        <f aca="false">COUNTIFS(Endpoints!$A$2:$A$162,$A10,Endpoints!$C$2:$C$162,"GET")</f>
        <v>1</v>
      </c>
      <c r="C10" s="15" t="n">
        <f aca="false">COUNTIFS(Endpoints!$A$2:$A$162,$A10,Endpoints!$C$2:$C$162,"POST")</f>
        <v>1</v>
      </c>
      <c r="D10" s="15" t="n">
        <f aca="false">COUNTIFS(Endpoints!$A$2:$A$162,$A10,Endpoints!$C$2:$C$162,"PUT")</f>
        <v>0</v>
      </c>
      <c r="E10" s="15" t="n">
        <f aca="false">COUNTIFS(Endpoints!$A$2:$A$162,$A10,Endpoints!$C$2:$C$162,"PATCH")</f>
        <v>1</v>
      </c>
      <c r="F10" s="15" t="n">
        <f aca="false">COUNTIFS(Endpoints!$A$2:$A$162,$A10,Endpoints!$C$2:$C$162,"DELETE")</f>
        <v>1</v>
      </c>
      <c r="G10" s="15" t="n">
        <f aca="false">SUM(B10:F10)</f>
        <v>4</v>
      </c>
    </row>
    <row r="11" customFormat="false" ht="15" hidden="false" customHeight="true" outlineLevel="0" collapsed="false">
      <c r="A11" s="15" t="s">
        <v>34</v>
      </c>
      <c r="B11" s="15" t="n">
        <f aca="false">COUNTIFS(Endpoints!$A$2:$A$162,$A11,Endpoints!$C$2:$C$162,"GET")</f>
        <v>3</v>
      </c>
      <c r="C11" s="15" t="n">
        <f aca="false">COUNTIFS(Endpoints!$A$2:$A$162,$A11,Endpoints!$C$2:$C$162,"POST")</f>
        <v>2</v>
      </c>
      <c r="D11" s="15" t="n">
        <f aca="false">COUNTIFS(Endpoints!$A$2:$A$162,$A11,Endpoints!$C$2:$C$162,"PUT")</f>
        <v>0</v>
      </c>
      <c r="E11" s="15" t="n">
        <f aca="false">COUNTIFS(Endpoints!$A$2:$A$162,$A11,Endpoints!$C$2:$C$162,"PATCH")</f>
        <v>2</v>
      </c>
      <c r="F11" s="15" t="n">
        <f aca="false">COUNTIFS(Endpoints!$A$2:$A$162,$A11,Endpoints!$C$2:$C$162,"DELETE")</f>
        <v>2</v>
      </c>
      <c r="G11" s="15" t="n">
        <f aca="false">SUM(B11:F11)</f>
        <v>9</v>
      </c>
    </row>
    <row r="12" customFormat="false" ht="15" hidden="false" customHeight="true" outlineLevel="0" collapsed="false">
      <c r="A12" s="15" t="s">
        <v>35</v>
      </c>
      <c r="B12" s="15" t="n">
        <f aca="false">COUNTIFS(Endpoints!$A$2:$A$162,$A12,Endpoints!$C$2:$C$162,"GET")</f>
        <v>2</v>
      </c>
      <c r="C12" s="15" t="n">
        <f aca="false">COUNTIFS(Endpoints!$A$2:$A$162,$A12,Endpoints!$C$2:$C$162,"POST")</f>
        <v>2</v>
      </c>
      <c r="D12" s="15" t="n">
        <f aca="false">COUNTIFS(Endpoints!$A$2:$A$162,$A12,Endpoints!$C$2:$C$162,"PUT")</f>
        <v>1</v>
      </c>
      <c r="E12" s="15" t="n">
        <f aca="false">COUNTIFS(Endpoints!$A$2:$A$162,$A12,Endpoints!$C$2:$C$162,"PATCH")</f>
        <v>1</v>
      </c>
      <c r="F12" s="15" t="n">
        <f aca="false">COUNTIFS(Endpoints!$A$2:$A$162,$A12,Endpoints!$C$2:$C$162,"DELETE")</f>
        <v>1</v>
      </c>
      <c r="G12" s="15" t="n">
        <f aca="false">SUM(B12:F12)</f>
        <v>7</v>
      </c>
    </row>
    <row r="13" customFormat="false" ht="15" hidden="false" customHeight="true" outlineLevel="0" collapsed="false">
      <c r="A13" s="15" t="s">
        <v>36</v>
      </c>
      <c r="B13" s="15" t="n">
        <f aca="false">COUNTIFS(Endpoints!$A$2:$A$162,$A13,Endpoints!$C$2:$C$162,"GET")</f>
        <v>8</v>
      </c>
      <c r="C13" s="15" t="n">
        <f aca="false">COUNTIFS(Endpoints!$A$2:$A$162,$A13,Endpoints!$C$2:$C$162,"POST")</f>
        <v>2</v>
      </c>
      <c r="D13" s="15" t="n">
        <f aca="false">COUNTIFS(Endpoints!$A$2:$A$162,$A13,Endpoints!$C$2:$C$162,"PUT")</f>
        <v>0</v>
      </c>
      <c r="E13" s="15" t="n">
        <f aca="false">COUNTIFS(Endpoints!$A$2:$A$162,$A13,Endpoints!$C$2:$C$162,"PATCH")</f>
        <v>1</v>
      </c>
      <c r="F13" s="15" t="n">
        <f aca="false">COUNTIFS(Endpoints!$A$2:$A$162,$A13,Endpoints!$C$2:$C$162,"DELETE")</f>
        <v>1</v>
      </c>
      <c r="G13" s="15" t="n">
        <f aca="false">SUM(B13:F13)</f>
        <v>12</v>
      </c>
    </row>
    <row r="14" customFormat="false" ht="15" hidden="false" customHeight="true" outlineLevel="0" collapsed="false">
      <c r="A14" s="15" t="s">
        <v>37</v>
      </c>
      <c r="B14" s="15" t="n">
        <f aca="false">COUNTIFS(Endpoints!$A$2:$A$162,$A14,Endpoints!$C$2:$C$162,"GET")</f>
        <v>6</v>
      </c>
      <c r="C14" s="15" t="n">
        <f aca="false">COUNTIFS(Endpoints!$A$2:$A$162,$A14,Endpoints!$C$2:$C$162,"POST")</f>
        <v>0</v>
      </c>
      <c r="D14" s="15" t="n">
        <f aca="false">COUNTIFS(Endpoints!$A$2:$A$162,$A14,Endpoints!$C$2:$C$162,"PUT")</f>
        <v>0</v>
      </c>
      <c r="E14" s="15" t="n">
        <f aca="false">COUNTIFS(Endpoints!$A$2:$A$162,$A14,Endpoints!$C$2:$C$162,"PATCH")</f>
        <v>0</v>
      </c>
      <c r="F14" s="15" t="n">
        <f aca="false">COUNTIFS(Endpoints!$A$2:$A$162,$A14,Endpoints!$C$2:$C$162,"DELETE")</f>
        <v>0</v>
      </c>
      <c r="G14" s="15" t="n">
        <f aca="false">SUM(B14:F14)</f>
        <v>6</v>
      </c>
    </row>
    <row r="15" customFormat="false" ht="15" hidden="false" customHeight="true" outlineLevel="0" collapsed="false">
      <c r="A15" s="15" t="s">
        <v>38</v>
      </c>
      <c r="B15" s="15" t="n">
        <f aca="false">COUNTIFS(Endpoints!$A$2:$A$162,$A15,Endpoints!$C$2:$C$162,"GET")</f>
        <v>3</v>
      </c>
      <c r="C15" s="15" t="n">
        <f aca="false">COUNTIFS(Endpoints!$A$2:$A$162,$A15,Endpoints!$C$2:$C$162,"POST")</f>
        <v>2</v>
      </c>
      <c r="D15" s="15" t="n">
        <f aca="false">COUNTIFS(Endpoints!$A$2:$A$162,$A15,Endpoints!$C$2:$C$162,"PUT")</f>
        <v>0</v>
      </c>
      <c r="E15" s="15" t="n">
        <f aca="false">COUNTIFS(Endpoints!$A$2:$A$162,$A15,Endpoints!$C$2:$C$162,"PATCH")</f>
        <v>1</v>
      </c>
      <c r="F15" s="15" t="n">
        <f aca="false">COUNTIFS(Endpoints!$A$2:$A$162,$A15,Endpoints!$C$2:$C$162,"DELETE")</f>
        <v>1</v>
      </c>
      <c r="G15" s="15" t="n">
        <f aca="false">SUM(B15:F15)</f>
        <v>7</v>
      </c>
    </row>
    <row r="16" customFormat="false" ht="15" hidden="false" customHeight="true" outlineLevel="0" collapsed="false">
      <c r="A16" s="15" t="s">
        <v>39</v>
      </c>
      <c r="B16" s="15" t="n">
        <f aca="false">COUNTIFS(Endpoints!$A$2:$A$162,$A16,Endpoints!$C$2:$C$162,"GET")</f>
        <v>2</v>
      </c>
      <c r="C16" s="15" t="n">
        <f aca="false">COUNTIFS(Endpoints!$A$2:$A$162,$A16,Endpoints!$C$2:$C$162,"POST")</f>
        <v>1</v>
      </c>
      <c r="D16" s="15" t="n">
        <f aca="false">COUNTIFS(Endpoints!$A$2:$A$162,$A16,Endpoints!$C$2:$C$162,"PUT")</f>
        <v>0</v>
      </c>
      <c r="E16" s="15" t="n">
        <f aca="false">COUNTIFS(Endpoints!$A$2:$A$162,$A16,Endpoints!$C$2:$C$162,"PATCH")</f>
        <v>2</v>
      </c>
      <c r="F16" s="15" t="n">
        <f aca="false">COUNTIFS(Endpoints!$A$2:$A$162,$A16,Endpoints!$C$2:$C$162,"DELETE")</f>
        <v>1</v>
      </c>
      <c r="G16" s="15" t="n">
        <f aca="false">SUM(B16:F16)</f>
        <v>6</v>
      </c>
    </row>
    <row r="17" customFormat="false" ht="15" hidden="false" customHeight="true" outlineLevel="0" collapsed="false">
      <c r="A17" s="15" t="s">
        <v>40</v>
      </c>
      <c r="B17" s="15" t="n">
        <f aca="false">COUNTIFS(Endpoints!$A$2:$A$162,$A17,Endpoints!$C$2:$C$162,"GET")</f>
        <v>11</v>
      </c>
      <c r="C17" s="15" t="n">
        <f aca="false">COUNTIFS(Endpoints!$A$2:$A$162,$A17,Endpoints!$C$2:$C$162,"POST")</f>
        <v>0</v>
      </c>
      <c r="D17" s="15" t="n">
        <f aca="false">COUNTIFS(Endpoints!$A$2:$A$162,$A17,Endpoints!$C$2:$C$162,"PUT")</f>
        <v>0</v>
      </c>
      <c r="E17" s="15" t="n">
        <f aca="false">COUNTIFS(Endpoints!$A$2:$A$162,$A17,Endpoints!$C$2:$C$162,"PATCH")</f>
        <v>1</v>
      </c>
      <c r="F17" s="15" t="n">
        <f aca="false">COUNTIFS(Endpoints!$A$2:$A$162,$A17,Endpoints!$C$2:$C$162,"DELETE")</f>
        <v>0</v>
      </c>
      <c r="G17" s="15" t="n">
        <f aca="false">SUM(B17:F17)</f>
        <v>12</v>
      </c>
    </row>
    <row r="18" customFormat="false" ht="15" hidden="false" customHeight="true" outlineLevel="0" collapsed="false">
      <c r="A18" s="15" t="s">
        <v>41</v>
      </c>
      <c r="B18" s="15" t="n">
        <f aca="false">COUNTIFS(Endpoints!$A$2:$A$162,$A18,Endpoints!$C$2:$C$162,"GET")</f>
        <v>2</v>
      </c>
      <c r="C18" s="15" t="n">
        <f aca="false">COUNTIFS(Endpoints!$A$2:$A$162,$A18,Endpoints!$C$2:$C$162,"POST")</f>
        <v>2</v>
      </c>
      <c r="D18" s="15" t="n">
        <f aca="false">COUNTIFS(Endpoints!$A$2:$A$162,$A18,Endpoints!$C$2:$C$162,"PUT")</f>
        <v>0</v>
      </c>
      <c r="E18" s="15" t="n">
        <f aca="false">COUNTIFS(Endpoints!$A$2:$A$162,$A18,Endpoints!$C$2:$C$162,"PATCH")</f>
        <v>1</v>
      </c>
      <c r="F18" s="15" t="n">
        <f aca="false">COUNTIFS(Endpoints!$A$2:$A$162,$A18,Endpoints!$C$2:$C$162,"DELETE")</f>
        <v>1</v>
      </c>
      <c r="G18" s="15" t="n">
        <f aca="false">SUM(B18:F18)</f>
        <v>6</v>
      </c>
    </row>
    <row r="19" customFormat="false" ht="15" hidden="false" customHeight="true" outlineLevel="0" collapsed="false">
      <c r="A19" s="15" t="s">
        <v>42</v>
      </c>
      <c r="B19" s="15" t="n">
        <f aca="false">COUNTIFS(Endpoints!$A$2:$A$162,$A19,Endpoints!$C$2:$C$162,"GET")</f>
        <v>1</v>
      </c>
      <c r="C19" s="15" t="n">
        <f aca="false">COUNTIFS(Endpoints!$A$2:$A$162,$A19,Endpoints!$C$2:$C$162,"POST")</f>
        <v>1</v>
      </c>
      <c r="D19" s="15" t="n">
        <f aca="false">COUNTIFS(Endpoints!$A$2:$A$162,$A19,Endpoints!$C$2:$C$162,"PUT")</f>
        <v>0</v>
      </c>
      <c r="E19" s="15" t="n">
        <f aca="false">COUNTIFS(Endpoints!$A$2:$A$162,$A19,Endpoints!$C$2:$C$162,"PATCH")</f>
        <v>1</v>
      </c>
      <c r="F19" s="15" t="n">
        <f aca="false">COUNTIFS(Endpoints!$A$2:$A$162,$A19,Endpoints!$C$2:$C$162,"DELETE")</f>
        <v>0</v>
      </c>
      <c r="G19" s="15" t="n">
        <f aca="false">SUM(B19:F19)</f>
        <v>3</v>
      </c>
    </row>
    <row r="20" customFormat="false" ht="15" hidden="false" customHeight="true" outlineLevel="0" collapsed="false">
      <c r="A20" s="15" t="s">
        <v>43</v>
      </c>
      <c r="B20" s="15" t="n">
        <f aca="false">COUNTIFS(Endpoints!$A$2:$A$162,$A20,Endpoints!$C$2:$C$162,"GET")</f>
        <v>1</v>
      </c>
      <c r="C20" s="15" t="n">
        <f aca="false">COUNTIFS(Endpoints!$A$2:$A$162,$A20,Endpoints!$C$2:$C$162,"POST")</f>
        <v>0</v>
      </c>
      <c r="D20" s="15" t="n">
        <f aca="false">COUNTIFS(Endpoints!$A$2:$A$162,$A20,Endpoints!$C$2:$C$162,"PUT")</f>
        <v>0</v>
      </c>
      <c r="E20" s="15" t="n">
        <f aca="false">COUNTIFS(Endpoints!$A$2:$A$162,$A20,Endpoints!$C$2:$C$162,"PATCH")</f>
        <v>1</v>
      </c>
      <c r="F20" s="15" t="n">
        <f aca="false">COUNTIFS(Endpoints!$A$2:$A$162,$A20,Endpoints!$C$2:$C$162,"DELETE")</f>
        <v>0</v>
      </c>
      <c r="G20" s="15" t="n">
        <f aca="false">SUM(B20:F20)</f>
        <v>2</v>
      </c>
    </row>
    <row r="21" customFormat="false" ht="15" hidden="false" customHeight="true" outlineLevel="0" collapsed="false">
      <c r="A21" s="15" t="s">
        <v>44</v>
      </c>
      <c r="B21" s="15" t="n">
        <f aca="false">COUNTIFS(Endpoints!$A$2:$A$162,$A21,Endpoints!$C$2:$C$162,"GET")</f>
        <v>6</v>
      </c>
      <c r="C21" s="15" t="n">
        <f aca="false">COUNTIFS(Endpoints!$A$2:$A$162,$A21,Endpoints!$C$2:$C$162,"POST")</f>
        <v>4</v>
      </c>
      <c r="D21" s="15" t="n">
        <f aca="false">COUNTIFS(Endpoints!$A$2:$A$162,$A21,Endpoints!$C$2:$C$162,"PUT")</f>
        <v>0</v>
      </c>
      <c r="E21" s="15" t="n">
        <f aca="false">COUNTIFS(Endpoints!$A$2:$A$162,$A21,Endpoints!$C$2:$C$162,"PATCH")</f>
        <v>2</v>
      </c>
      <c r="F21" s="15" t="n">
        <f aca="false">COUNTIFS(Endpoints!$A$2:$A$162,$A21,Endpoints!$C$2:$C$162,"DELETE")</f>
        <v>2</v>
      </c>
      <c r="G21" s="15" t="n">
        <f aca="false">SUM(B21:F21)</f>
        <v>14</v>
      </c>
    </row>
    <row r="22" customFormat="false" ht="15" hidden="false" customHeight="true" outlineLevel="0" collapsed="false">
      <c r="A22" s="15" t="s">
        <v>45</v>
      </c>
      <c r="B22" s="15" t="n">
        <f aca="false">COUNTIFS(Endpoints!$A$2:$A$162,$A22,Endpoints!$C$2:$C$162,"GET")</f>
        <v>4</v>
      </c>
      <c r="C22" s="15" t="n">
        <f aca="false">COUNTIFS(Endpoints!$A$2:$A$162,$A22,Endpoints!$C$2:$C$162,"POST")</f>
        <v>0</v>
      </c>
      <c r="D22" s="15" t="n">
        <f aca="false">COUNTIFS(Endpoints!$A$2:$A$162,$A22,Endpoints!$C$2:$C$162,"PUT")</f>
        <v>0</v>
      </c>
      <c r="E22" s="15" t="n">
        <f aca="false">COUNTIFS(Endpoints!$A$2:$A$162,$A22,Endpoints!$C$2:$C$162,"PATCH")</f>
        <v>0</v>
      </c>
      <c r="F22" s="15" t="n">
        <f aca="false">COUNTIFS(Endpoints!$A$2:$A$162,$A22,Endpoints!$C$2:$C$162,"DELETE")</f>
        <v>0</v>
      </c>
      <c r="G22" s="15" t="n">
        <f aca="false">SUM(B22:F22)</f>
        <v>4</v>
      </c>
    </row>
    <row r="23" customFormat="false" ht="15" hidden="false" customHeight="true" outlineLevel="0" collapsed="false">
      <c r="A23" s="15" t="s">
        <v>46</v>
      </c>
      <c r="B23" s="15" t="n">
        <f aca="false">COUNTIFS(Endpoints!$A$2:$A$162,$A23,Endpoints!$C$2:$C$162,"GET")</f>
        <v>3</v>
      </c>
      <c r="C23" s="15" t="n">
        <f aca="false">COUNTIFS(Endpoints!$A$2:$A$162,$A23,Endpoints!$C$2:$C$162,"POST")</f>
        <v>4</v>
      </c>
      <c r="D23" s="15" t="n">
        <f aca="false">COUNTIFS(Endpoints!$A$2:$A$162,$A23,Endpoints!$C$2:$C$162,"PUT")</f>
        <v>0</v>
      </c>
      <c r="E23" s="15" t="n">
        <f aca="false">COUNTIFS(Endpoints!$A$2:$A$162,$A23,Endpoints!$C$2:$C$162,"PATCH")</f>
        <v>2</v>
      </c>
      <c r="F23" s="15" t="n">
        <f aca="false">COUNTIFS(Endpoints!$A$2:$A$162,$A23,Endpoints!$C$2:$C$162,"DELETE")</f>
        <v>2</v>
      </c>
      <c r="G23" s="15" t="n">
        <f aca="false">SUM(B23:F23)</f>
        <v>11</v>
      </c>
    </row>
    <row r="24" customFormat="false" ht="15" hidden="false" customHeight="true" outlineLevel="0" collapsed="false">
      <c r="A24" s="15" t="s">
        <v>47</v>
      </c>
      <c r="B24" s="15" t="n">
        <f aca="false">COUNTIFS(Endpoints!$A$2:$A$162,$A24,Endpoints!$C$2:$C$162,"GET")</f>
        <v>4</v>
      </c>
      <c r="C24" s="15" t="n">
        <f aca="false">COUNTIFS(Endpoints!$A$2:$A$162,$A24,Endpoints!$C$2:$C$162,"POST")</f>
        <v>3</v>
      </c>
      <c r="D24" s="15" t="n">
        <f aca="false">COUNTIFS(Endpoints!$A$2:$A$162,$A24,Endpoints!$C$2:$C$162,"PUT")</f>
        <v>0</v>
      </c>
      <c r="E24" s="15" t="n">
        <f aca="false">COUNTIFS(Endpoints!$A$2:$A$162,$A24,Endpoints!$C$2:$C$162,"PATCH")</f>
        <v>1</v>
      </c>
      <c r="F24" s="15" t="n">
        <f aca="false">COUNTIFS(Endpoints!$A$2:$A$162,$A24,Endpoints!$C$2:$C$162,"DELETE")</f>
        <v>1</v>
      </c>
      <c r="G24" s="15" t="n">
        <f aca="false">SUM(B24:F24)</f>
        <v>9</v>
      </c>
    </row>
    <row r="25" customFormat="false" ht="15" hidden="false" customHeight="true" outlineLevel="0" collapsed="false">
      <c r="A25" s="15" t="s">
        <v>48</v>
      </c>
      <c r="B25" s="15" t="n">
        <f aca="false">COUNTIFS(Endpoints!$A$2:$A$162,$A25,Endpoints!$C$2:$C$162,"GET")</f>
        <v>2</v>
      </c>
      <c r="C25" s="15" t="n">
        <f aca="false">COUNTIFS(Endpoints!$A$2:$A$162,$A25,Endpoints!$C$2:$C$162,"POST")</f>
        <v>0</v>
      </c>
      <c r="D25" s="15" t="n">
        <f aca="false">COUNTIFS(Endpoints!$A$2:$A$162,$A25,Endpoints!$C$2:$C$162,"PUT")</f>
        <v>0</v>
      </c>
      <c r="E25" s="15" t="n">
        <f aca="false">COUNTIFS(Endpoints!$A$2:$A$162,$A25,Endpoints!$C$2:$C$162,"PATCH")</f>
        <v>0</v>
      </c>
      <c r="F25" s="15" t="n">
        <f aca="false">COUNTIFS(Endpoints!$A$2:$A$162,$A25,Endpoints!$C$2:$C$162,"DELETE")</f>
        <v>0</v>
      </c>
      <c r="G25" s="15" t="n">
        <f aca="false">SUM(B25:F25)</f>
        <v>2</v>
      </c>
    </row>
    <row r="26" customFormat="false" ht="15" hidden="false" customHeight="true" outlineLevel="0" collapsed="false">
      <c r="A26" s="15" t="s">
        <v>49</v>
      </c>
      <c r="B26" s="15" t="n">
        <f aca="false">COUNTIFS(Endpoints!$A$2:$A$162,$A26,Endpoints!$C$2:$C$162,"GET")</f>
        <v>2</v>
      </c>
      <c r="C26" s="15" t="n">
        <f aca="false">COUNTIFS(Endpoints!$A$2:$A$162,$A26,Endpoints!$C$2:$C$162,"POST")</f>
        <v>5</v>
      </c>
      <c r="D26" s="15" t="n">
        <f aca="false">COUNTIFS(Endpoints!$A$2:$A$162,$A26,Endpoints!$C$2:$C$162,"PUT")</f>
        <v>0</v>
      </c>
      <c r="E26" s="15" t="n">
        <f aca="false">COUNTIFS(Endpoints!$A$2:$A$162,$A26,Endpoints!$C$2:$C$162,"PATCH")</f>
        <v>0</v>
      </c>
      <c r="F26" s="15" t="n">
        <f aca="false">COUNTIFS(Endpoints!$A$2:$A$162,$A26,Endpoints!$C$2:$C$162,"DELETE")</f>
        <v>0</v>
      </c>
      <c r="G26" s="15" t="n">
        <f aca="false">SUM(B26:F26)</f>
        <v>7</v>
      </c>
    </row>
    <row r="27" customFormat="false" ht="15" hidden="false" customHeight="true" outlineLevel="0" collapsed="false">
      <c r="A27" s="15" t="s">
        <v>50</v>
      </c>
      <c r="B27" s="15" t="n">
        <f aca="false">COUNTIFS(Endpoints!$A$2:$A$162,$A27,Endpoints!$C$2:$C$162,"GET")</f>
        <v>5</v>
      </c>
      <c r="C27" s="15" t="n">
        <f aca="false">COUNTIFS(Endpoints!$A$2:$A$162,$A27,Endpoints!$C$2:$C$162,"POST")</f>
        <v>2</v>
      </c>
      <c r="D27" s="15" t="n">
        <f aca="false">COUNTIFS(Endpoints!$A$2:$A$162,$A27,Endpoints!$C$2:$C$162,"PUT")</f>
        <v>0</v>
      </c>
      <c r="E27" s="15" t="n">
        <f aca="false">COUNTIFS(Endpoints!$A$2:$A$162,$A27,Endpoints!$C$2:$C$162,"PATCH")</f>
        <v>1</v>
      </c>
      <c r="F27" s="15" t="n">
        <f aca="false">COUNTIFS(Endpoints!$A$2:$A$162,$A27,Endpoints!$C$2:$C$162,"DELETE")</f>
        <v>1</v>
      </c>
      <c r="G27" s="15" t="n">
        <f aca="false">SUM(B27:F27)</f>
        <v>9</v>
      </c>
    </row>
    <row r="28" customFormat="false" ht="15" hidden="false" customHeight="true" outlineLevel="0" collapsed="false">
      <c r="A28" s="15" t="s">
        <v>51</v>
      </c>
      <c r="B28" s="15" t="n">
        <f aca="false">COUNTIFS(Endpoints!$A$2:$A$162,$A28,Endpoints!$C$2:$C$162,"GET")</f>
        <v>1</v>
      </c>
      <c r="C28" s="15" t="n">
        <f aca="false">COUNTIFS(Endpoints!$A$2:$A$162,$A28,Endpoints!$C$2:$C$162,"POST")</f>
        <v>2</v>
      </c>
      <c r="D28" s="15" t="n">
        <f aca="false">COUNTIFS(Endpoints!$A$2:$A$162,$A28,Endpoints!$C$2:$C$162,"PUT")</f>
        <v>0</v>
      </c>
      <c r="E28" s="15" t="n">
        <f aca="false">COUNTIFS(Endpoints!$A$2:$A$162,$A28,Endpoints!$C$2:$C$162,"PATCH")</f>
        <v>0</v>
      </c>
      <c r="F28" s="15" t="n">
        <f aca="false">COUNTIFS(Endpoints!$A$2:$A$162,$A28,Endpoints!$C$2:$C$162,"DELETE")</f>
        <v>0</v>
      </c>
      <c r="G28" s="15" t="n">
        <f aca="false">SUM(B28:F28)</f>
        <v>3</v>
      </c>
    </row>
    <row r="29" customFormat="false" ht="15" hidden="false" customHeight="true" outlineLevel="0" collapsed="false">
      <c r="A29" s="16" t="s">
        <v>27</v>
      </c>
      <c r="B29" s="16" t="n">
        <f aca="false">SUM(B5:B28)</f>
        <v>76</v>
      </c>
      <c r="C29" s="16" t="n">
        <f aca="false">SUM(C5:C28)</f>
        <v>46</v>
      </c>
      <c r="D29" s="16" t="n">
        <f aca="false">SUM(D5:D28)</f>
        <v>2</v>
      </c>
      <c r="E29" s="16" t="n">
        <f aca="false">SUM(E5:E28)</f>
        <v>22</v>
      </c>
      <c r="F29" s="16" t="n">
        <f aca="false">SUM(F5:F28)</f>
        <v>15</v>
      </c>
      <c r="G29" s="16" t="n">
        <f aca="false">SUM(G5:G28)</f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1" width="30"/>
    <col collapsed="false" customWidth="true" hidden="false" outlineLevel="0" max="3" min="3" style="11" width="9"/>
    <col collapsed="false" customWidth="true" hidden="false" outlineLevel="0" max="4" min="4" style="11" width="62"/>
    <col collapsed="false" customWidth="true" hidden="false" outlineLevel="0" max="5" min="5" style="11" width="30"/>
    <col collapsed="false" customWidth="true" hidden="false" outlineLevel="0" max="6" min="6" style="11" width="80"/>
  </cols>
  <sheetData>
    <row r="1" customFormat="false" ht="15" hidden="false" customHeight="true" outlineLevel="0" collapsed="false">
      <c r="A1" s="14" t="s">
        <v>21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</row>
    <row r="2" customFormat="false" ht="15" hidden="false" customHeight="true" outlineLevel="0" collapsed="false">
      <c r="A2" s="15" t="s">
        <v>28</v>
      </c>
      <c r="B2" s="15" t="s">
        <v>57</v>
      </c>
      <c r="C2" s="15" t="s">
        <v>22</v>
      </c>
      <c r="D2" s="15" t="s">
        <v>58</v>
      </c>
      <c r="E2" s="15" t="s">
        <v>59</v>
      </c>
      <c r="F2" s="15" t="s">
        <v>60</v>
      </c>
    </row>
    <row r="3" customFormat="false" ht="15" hidden="false" customHeight="true" outlineLevel="0" collapsed="false">
      <c r="A3" s="15" t="s">
        <v>28</v>
      </c>
      <c r="B3" s="15" t="s">
        <v>57</v>
      </c>
      <c r="C3" s="15" t="s">
        <v>22</v>
      </c>
      <c r="D3" s="15" t="s">
        <v>61</v>
      </c>
      <c r="E3" s="15" t="s">
        <v>62</v>
      </c>
      <c r="F3" s="15" t="s">
        <v>63</v>
      </c>
    </row>
    <row r="4" customFormat="false" ht="15" hidden="false" customHeight="true" outlineLevel="0" collapsed="false">
      <c r="A4" s="15" t="s">
        <v>28</v>
      </c>
      <c r="B4" s="15" t="s">
        <v>57</v>
      </c>
      <c r="C4" s="15" t="s">
        <v>23</v>
      </c>
      <c r="D4" s="15" t="s">
        <v>64</v>
      </c>
      <c r="E4" s="15" t="s">
        <v>65</v>
      </c>
      <c r="F4" s="15"/>
    </row>
    <row r="5" customFormat="false" ht="15" hidden="false" customHeight="true" outlineLevel="0" collapsed="false">
      <c r="A5" s="15" t="s">
        <v>28</v>
      </c>
      <c r="B5" s="15" t="s">
        <v>57</v>
      </c>
      <c r="C5" s="15" t="s">
        <v>23</v>
      </c>
      <c r="D5" s="15" t="s">
        <v>66</v>
      </c>
      <c r="E5" s="15" t="s">
        <v>67</v>
      </c>
      <c r="F5" s="15"/>
    </row>
    <row r="6" customFormat="false" ht="15" hidden="false" customHeight="true" outlineLevel="0" collapsed="false">
      <c r="A6" s="15" t="s">
        <v>28</v>
      </c>
      <c r="B6" s="15" t="s">
        <v>57</v>
      </c>
      <c r="C6" s="15" t="s">
        <v>23</v>
      </c>
      <c r="D6" s="15" t="s">
        <v>68</v>
      </c>
      <c r="E6" s="15" t="s">
        <v>69</v>
      </c>
      <c r="F6" s="15" t="s">
        <v>70</v>
      </c>
    </row>
    <row r="7" customFormat="false" ht="15" hidden="false" customHeight="true" outlineLevel="0" collapsed="false">
      <c r="A7" s="15" t="s">
        <v>28</v>
      </c>
      <c r="B7" s="15" t="s">
        <v>57</v>
      </c>
      <c r="C7" s="15" t="s">
        <v>23</v>
      </c>
      <c r="D7" s="15" t="s">
        <v>71</v>
      </c>
      <c r="E7" s="15" t="s">
        <v>72</v>
      </c>
      <c r="F7" s="15" t="s">
        <v>73</v>
      </c>
    </row>
    <row r="8" customFormat="false" ht="15" hidden="false" customHeight="true" outlineLevel="0" collapsed="false">
      <c r="A8" s="15" t="s">
        <v>28</v>
      </c>
      <c r="B8" s="15" t="s">
        <v>57</v>
      </c>
      <c r="C8" s="15" t="s">
        <v>25</v>
      </c>
      <c r="D8" s="15" t="s">
        <v>74</v>
      </c>
      <c r="E8" s="15" t="s">
        <v>75</v>
      </c>
      <c r="F8" s="15" t="s">
        <v>76</v>
      </c>
    </row>
    <row r="9" customFormat="false" ht="15" hidden="false" customHeight="true" outlineLevel="0" collapsed="false">
      <c r="A9" s="15" t="s">
        <v>28</v>
      </c>
      <c r="B9" s="15" t="s">
        <v>57</v>
      </c>
      <c r="C9" s="15" t="s">
        <v>23</v>
      </c>
      <c r="D9" s="15" t="s">
        <v>77</v>
      </c>
      <c r="E9" s="15" t="s">
        <v>78</v>
      </c>
      <c r="F9" s="15" t="s">
        <v>79</v>
      </c>
    </row>
    <row r="10" customFormat="false" ht="15" hidden="false" customHeight="true" outlineLevel="0" collapsed="false">
      <c r="A10" s="15" t="s">
        <v>28</v>
      </c>
      <c r="B10" s="15" t="s">
        <v>57</v>
      </c>
      <c r="C10" s="15" t="s">
        <v>22</v>
      </c>
      <c r="D10" s="15" t="s">
        <v>80</v>
      </c>
      <c r="E10" s="15" t="s">
        <v>81</v>
      </c>
      <c r="F10" s="15" t="s">
        <v>82</v>
      </c>
    </row>
    <row r="11" customFormat="false" ht="15" hidden="false" customHeight="true" outlineLevel="0" collapsed="false">
      <c r="A11" s="15" t="s">
        <v>28</v>
      </c>
      <c r="B11" s="15" t="s">
        <v>57</v>
      </c>
      <c r="C11" s="15" t="s">
        <v>23</v>
      </c>
      <c r="D11" s="15" t="s">
        <v>80</v>
      </c>
      <c r="E11" s="15" t="s">
        <v>83</v>
      </c>
      <c r="F11" s="15" t="s">
        <v>84</v>
      </c>
    </row>
    <row r="12" customFormat="false" ht="15" hidden="false" customHeight="true" outlineLevel="0" collapsed="false">
      <c r="A12" s="15" t="s">
        <v>28</v>
      </c>
      <c r="B12" s="15" t="s">
        <v>57</v>
      </c>
      <c r="C12" s="15" t="s">
        <v>26</v>
      </c>
      <c r="D12" s="15" t="s">
        <v>85</v>
      </c>
      <c r="E12" s="15" t="s">
        <v>86</v>
      </c>
      <c r="F12" s="15" t="s">
        <v>87</v>
      </c>
    </row>
    <row r="13" customFormat="false" ht="15" hidden="false" customHeight="true" outlineLevel="0" collapsed="false">
      <c r="A13" s="15" t="s">
        <v>28</v>
      </c>
      <c r="B13" s="15" t="s">
        <v>57</v>
      </c>
      <c r="C13" s="15" t="s">
        <v>25</v>
      </c>
      <c r="D13" s="15" t="s">
        <v>85</v>
      </c>
      <c r="E13" s="15" t="s">
        <v>88</v>
      </c>
      <c r="F13" s="15" t="s">
        <v>89</v>
      </c>
    </row>
    <row r="14" customFormat="false" ht="15" hidden="false" customHeight="true" outlineLevel="0" collapsed="false">
      <c r="A14" s="15" t="s">
        <v>28</v>
      </c>
      <c r="B14" s="15" t="s">
        <v>57</v>
      </c>
      <c r="C14" s="15" t="s">
        <v>22</v>
      </c>
      <c r="D14" s="15" t="s">
        <v>90</v>
      </c>
      <c r="E14" s="15" t="s">
        <v>91</v>
      </c>
      <c r="F14" s="15" t="s">
        <v>92</v>
      </c>
    </row>
    <row r="15" customFormat="false" ht="15" hidden="false" customHeight="true" outlineLevel="0" collapsed="false">
      <c r="A15" s="15" t="s">
        <v>29</v>
      </c>
      <c r="B15" s="15" t="s">
        <v>93</v>
      </c>
      <c r="C15" s="15" t="s">
        <v>22</v>
      </c>
      <c r="D15" s="15" t="s">
        <v>94</v>
      </c>
      <c r="E15" s="15" t="s">
        <v>95</v>
      </c>
      <c r="F15" s="15" t="s">
        <v>96</v>
      </c>
    </row>
    <row r="16" customFormat="false" ht="15" hidden="false" customHeight="true" outlineLevel="0" collapsed="false">
      <c r="A16" s="15" t="s">
        <v>29</v>
      </c>
      <c r="B16" s="15" t="s">
        <v>93</v>
      </c>
      <c r="C16" s="15" t="s">
        <v>23</v>
      </c>
      <c r="D16" s="15" t="s">
        <v>97</v>
      </c>
      <c r="E16" s="15" t="s">
        <v>98</v>
      </c>
      <c r="F16" s="15" t="s">
        <v>99</v>
      </c>
    </row>
    <row r="17" customFormat="false" ht="15" hidden="false" customHeight="true" outlineLevel="0" collapsed="false">
      <c r="A17" s="15" t="s">
        <v>29</v>
      </c>
      <c r="B17" s="15" t="s">
        <v>93</v>
      </c>
      <c r="C17" s="15" t="s">
        <v>22</v>
      </c>
      <c r="D17" s="15" t="s">
        <v>100</v>
      </c>
      <c r="E17" s="15" t="s">
        <v>101</v>
      </c>
      <c r="F17" s="15" t="s">
        <v>102</v>
      </c>
    </row>
    <row r="18" customFormat="false" ht="15" hidden="false" customHeight="true" outlineLevel="0" collapsed="false">
      <c r="A18" s="15" t="s">
        <v>29</v>
      </c>
      <c r="B18" s="15" t="s">
        <v>93</v>
      </c>
      <c r="C18" s="15" t="s">
        <v>25</v>
      </c>
      <c r="D18" s="15" t="s">
        <v>103</v>
      </c>
      <c r="E18" s="15" t="s">
        <v>104</v>
      </c>
      <c r="F18" s="15" t="s">
        <v>105</v>
      </c>
    </row>
    <row r="19" customFormat="false" ht="15" hidden="false" customHeight="true" outlineLevel="0" collapsed="false">
      <c r="A19" s="15" t="s">
        <v>30</v>
      </c>
      <c r="B19" s="15" t="s">
        <v>106</v>
      </c>
      <c r="C19" s="15" t="s">
        <v>22</v>
      </c>
      <c r="D19" s="15" t="s">
        <v>107</v>
      </c>
      <c r="E19" s="15" t="s">
        <v>108</v>
      </c>
      <c r="F19" s="15" t="s">
        <v>109</v>
      </c>
    </row>
    <row r="20" customFormat="false" ht="15" hidden="false" customHeight="true" outlineLevel="0" collapsed="false">
      <c r="A20" s="15" t="s">
        <v>30</v>
      </c>
      <c r="B20" s="15" t="s">
        <v>106</v>
      </c>
      <c r="C20" s="15" t="s">
        <v>24</v>
      </c>
      <c r="D20" s="15" t="s">
        <v>110</v>
      </c>
      <c r="E20" s="15" t="s">
        <v>111</v>
      </c>
      <c r="F20" s="15" t="s">
        <v>112</v>
      </c>
    </row>
    <row r="21" customFormat="false" ht="15" hidden="false" customHeight="true" outlineLevel="0" collapsed="false">
      <c r="A21" s="15" t="s">
        <v>31</v>
      </c>
      <c r="B21" s="15" t="s">
        <v>113</v>
      </c>
      <c r="C21" s="15" t="s">
        <v>22</v>
      </c>
      <c r="D21" s="15" t="s">
        <v>114</v>
      </c>
      <c r="E21" s="15" t="s">
        <v>95</v>
      </c>
      <c r="F21" s="15" t="s">
        <v>115</v>
      </c>
    </row>
    <row r="22" customFormat="false" ht="15" hidden="false" customHeight="true" outlineLevel="0" collapsed="false">
      <c r="A22" s="15" t="s">
        <v>32</v>
      </c>
      <c r="B22" s="15" t="s">
        <v>116</v>
      </c>
      <c r="C22" s="15" t="s">
        <v>23</v>
      </c>
      <c r="D22" s="15" t="s">
        <v>117</v>
      </c>
      <c r="E22" s="15" t="s">
        <v>118</v>
      </c>
      <c r="F22" s="15" t="s">
        <v>119</v>
      </c>
    </row>
    <row r="23" customFormat="false" ht="15" hidden="false" customHeight="true" outlineLevel="0" collapsed="false">
      <c r="A23" s="15" t="s">
        <v>32</v>
      </c>
      <c r="B23" s="15" t="s">
        <v>116</v>
      </c>
      <c r="C23" s="15" t="s">
        <v>23</v>
      </c>
      <c r="D23" s="15" t="s">
        <v>120</v>
      </c>
      <c r="E23" s="15" t="s">
        <v>121</v>
      </c>
      <c r="F23" s="15"/>
    </row>
    <row r="24" customFormat="false" ht="15" hidden="false" customHeight="true" outlineLevel="0" collapsed="false">
      <c r="A24" s="15" t="s">
        <v>32</v>
      </c>
      <c r="B24" s="15" t="s">
        <v>116</v>
      </c>
      <c r="C24" s="15" t="s">
        <v>22</v>
      </c>
      <c r="D24" s="15" t="s">
        <v>122</v>
      </c>
      <c r="E24" s="15" t="s">
        <v>123</v>
      </c>
      <c r="F24" s="15" t="s">
        <v>124</v>
      </c>
    </row>
    <row r="25" customFormat="false" ht="15" hidden="false" customHeight="true" outlineLevel="0" collapsed="false">
      <c r="A25" s="15" t="s">
        <v>32</v>
      </c>
      <c r="B25" s="15" t="s">
        <v>116</v>
      </c>
      <c r="C25" s="15" t="s">
        <v>25</v>
      </c>
      <c r="D25" s="15" t="s">
        <v>122</v>
      </c>
      <c r="E25" s="15" t="s">
        <v>125</v>
      </c>
      <c r="F25" s="15" t="s">
        <v>126</v>
      </c>
    </row>
    <row r="26" customFormat="false" ht="15" hidden="false" customHeight="true" outlineLevel="0" collapsed="false">
      <c r="A26" s="15" t="s">
        <v>32</v>
      </c>
      <c r="B26" s="15" t="s">
        <v>116</v>
      </c>
      <c r="C26" s="15" t="s">
        <v>23</v>
      </c>
      <c r="D26" s="15" t="s">
        <v>127</v>
      </c>
      <c r="E26" s="15" t="s">
        <v>128</v>
      </c>
      <c r="F26" s="15" t="s">
        <v>129</v>
      </c>
    </row>
    <row r="27" customFormat="false" ht="15" hidden="false" customHeight="true" outlineLevel="0" collapsed="false">
      <c r="A27" s="15" t="s">
        <v>32</v>
      </c>
      <c r="B27" s="15" t="s">
        <v>116</v>
      </c>
      <c r="C27" s="15" t="s">
        <v>23</v>
      </c>
      <c r="D27" s="15" t="s">
        <v>130</v>
      </c>
      <c r="E27" s="15" t="s">
        <v>131</v>
      </c>
      <c r="F27" s="15" t="s">
        <v>132</v>
      </c>
    </row>
    <row r="28" customFormat="false" ht="15" hidden="false" customHeight="true" outlineLevel="0" collapsed="false">
      <c r="A28" s="15" t="s">
        <v>32</v>
      </c>
      <c r="B28" s="15" t="s">
        <v>116</v>
      </c>
      <c r="C28" s="15" t="s">
        <v>23</v>
      </c>
      <c r="D28" s="15" t="s">
        <v>133</v>
      </c>
      <c r="E28" s="15" t="s">
        <v>134</v>
      </c>
      <c r="F28" s="15" t="s">
        <v>135</v>
      </c>
    </row>
    <row r="29" customFormat="false" ht="15" hidden="false" customHeight="true" outlineLevel="0" collapsed="false">
      <c r="A29" s="15" t="s">
        <v>32</v>
      </c>
      <c r="B29" s="15" t="s">
        <v>116</v>
      </c>
      <c r="C29" s="15" t="s">
        <v>23</v>
      </c>
      <c r="D29" s="15" t="s">
        <v>136</v>
      </c>
      <c r="E29" s="15" t="s">
        <v>137</v>
      </c>
      <c r="F29" s="15" t="s">
        <v>138</v>
      </c>
    </row>
    <row r="30" customFormat="false" ht="15" hidden="false" customHeight="true" outlineLevel="0" collapsed="false">
      <c r="A30" s="15" t="s">
        <v>33</v>
      </c>
      <c r="B30" s="15" t="s">
        <v>139</v>
      </c>
      <c r="C30" s="15" t="s">
        <v>22</v>
      </c>
      <c r="D30" s="15" t="s">
        <v>140</v>
      </c>
      <c r="E30" s="15" t="s">
        <v>141</v>
      </c>
      <c r="F30" s="15" t="s">
        <v>142</v>
      </c>
    </row>
    <row r="31" customFormat="false" ht="15" hidden="false" customHeight="true" outlineLevel="0" collapsed="false">
      <c r="A31" s="15" t="s">
        <v>33</v>
      </c>
      <c r="B31" s="15" t="s">
        <v>139</v>
      </c>
      <c r="C31" s="15" t="s">
        <v>23</v>
      </c>
      <c r="D31" s="15" t="s">
        <v>140</v>
      </c>
      <c r="E31" s="15" t="s">
        <v>143</v>
      </c>
      <c r="F31" s="15" t="s">
        <v>144</v>
      </c>
    </row>
    <row r="32" customFormat="false" ht="15" hidden="false" customHeight="true" outlineLevel="0" collapsed="false">
      <c r="A32" s="15" t="s">
        <v>33</v>
      </c>
      <c r="B32" s="15" t="s">
        <v>139</v>
      </c>
      <c r="C32" s="15" t="s">
        <v>26</v>
      </c>
      <c r="D32" s="15" t="s">
        <v>145</v>
      </c>
      <c r="E32" s="15" t="s">
        <v>146</v>
      </c>
      <c r="F32" s="15" t="s">
        <v>147</v>
      </c>
    </row>
    <row r="33" customFormat="false" ht="15" hidden="false" customHeight="true" outlineLevel="0" collapsed="false">
      <c r="A33" s="15" t="s">
        <v>33</v>
      </c>
      <c r="B33" s="15" t="s">
        <v>139</v>
      </c>
      <c r="C33" s="15" t="s">
        <v>25</v>
      </c>
      <c r="D33" s="15" t="s">
        <v>145</v>
      </c>
      <c r="E33" s="15" t="s">
        <v>148</v>
      </c>
      <c r="F33" s="15" t="s">
        <v>149</v>
      </c>
    </row>
    <row r="34" customFormat="false" ht="15" hidden="false" customHeight="true" outlineLevel="0" collapsed="false">
      <c r="A34" s="15" t="s">
        <v>34</v>
      </c>
      <c r="B34" s="15" t="s">
        <v>150</v>
      </c>
      <c r="C34" s="15" t="s">
        <v>22</v>
      </c>
      <c r="D34" s="15" t="s">
        <v>151</v>
      </c>
      <c r="E34" s="15" t="s">
        <v>152</v>
      </c>
      <c r="F34" s="15" t="s">
        <v>153</v>
      </c>
    </row>
    <row r="35" customFormat="false" ht="15" hidden="false" customHeight="true" outlineLevel="0" collapsed="false">
      <c r="A35" s="15" t="s">
        <v>34</v>
      </c>
      <c r="B35" s="15" t="s">
        <v>150</v>
      </c>
      <c r="C35" s="15" t="s">
        <v>23</v>
      </c>
      <c r="D35" s="15" t="s">
        <v>151</v>
      </c>
      <c r="E35" s="15" t="s">
        <v>154</v>
      </c>
      <c r="F35" s="15" t="s">
        <v>155</v>
      </c>
    </row>
    <row r="36" customFormat="false" ht="15" hidden="false" customHeight="true" outlineLevel="0" collapsed="false">
      <c r="A36" s="15" t="s">
        <v>34</v>
      </c>
      <c r="B36" s="15" t="s">
        <v>150</v>
      </c>
      <c r="C36" s="15" t="s">
        <v>26</v>
      </c>
      <c r="D36" s="15" t="s">
        <v>156</v>
      </c>
      <c r="E36" s="15" t="s">
        <v>157</v>
      </c>
      <c r="F36" s="15" t="s">
        <v>158</v>
      </c>
    </row>
    <row r="37" customFormat="false" ht="15" hidden="false" customHeight="true" outlineLevel="0" collapsed="false">
      <c r="A37" s="15" t="s">
        <v>34</v>
      </c>
      <c r="B37" s="15" t="s">
        <v>150</v>
      </c>
      <c r="C37" s="15" t="s">
        <v>25</v>
      </c>
      <c r="D37" s="15" t="s">
        <v>156</v>
      </c>
      <c r="E37" s="15" t="s">
        <v>159</v>
      </c>
      <c r="F37" s="15" t="s">
        <v>160</v>
      </c>
    </row>
    <row r="38" customFormat="false" ht="15" hidden="false" customHeight="true" outlineLevel="0" collapsed="false">
      <c r="A38" s="15" t="s">
        <v>34</v>
      </c>
      <c r="B38" s="15" t="s">
        <v>150</v>
      </c>
      <c r="C38" s="15" t="s">
        <v>22</v>
      </c>
      <c r="D38" s="15" t="s">
        <v>161</v>
      </c>
      <c r="E38" s="15" t="s">
        <v>95</v>
      </c>
      <c r="F38" s="15" t="s">
        <v>162</v>
      </c>
    </row>
    <row r="39" customFormat="false" ht="15" hidden="false" customHeight="true" outlineLevel="0" collapsed="false">
      <c r="A39" s="15" t="s">
        <v>34</v>
      </c>
      <c r="B39" s="15" t="s">
        <v>150</v>
      </c>
      <c r="C39" s="15" t="s">
        <v>23</v>
      </c>
      <c r="D39" s="15" t="s">
        <v>161</v>
      </c>
      <c r="E39" s="15" t="s">
        <v>163</v>
      </c>
      <c r="F39" s="15" t="s">
        <v>164</v>
      </c>
    </row>
    <row r="40" customFormat="false" ht="15" hidden="false" customHeight="true" outlineLevel="0" collapsed="false">
      <c r="A40" s="15" t="s">
        <v>34</v>
      </c>
      <c r="B40" s="15" t="s">
        <v>150</v>
      </c>
      <c r="C40" s="15" t="s">
        <v>26</v>
      </c>
      <c r="D40" s="15" t="s">
        <v>165</v>
      </c>
      <c r="E40" s="15" t="s">
        <v>166</v>
      </c>
      <c r="F40" s="15" t="s">
        <v>167</v>
      </c>
    </row>
    <row r="41" customFormat="false" ht="15" hidden="false" customHeight="true" outlineLevel="0" collapsed="false">
      <c r="A41" s="15" t="s">
        <v>34</v>
      </c>
      <c r="B41" s="15" t="s">
        <v>150</v>
      </c>
      <c r="C41" s="15" t="s">
        <v>25</v>
      </c>
      <c r="D41" s="15" t="s">
        <v>165</v>
      </c>
      <c r="E41" s="15" t="s">
        <v>104</v>
      </c>
      <c r="F41" s="15" t="s">
        <v>168</v>
      </c>
    </row>
    <row r="42" customFormat="false" ht="15" hidden="false" customHeight="true" outlineLevel="0" collapsed="false">
      <c r="A42" s="15" t="s">
        <v>34</v>
      </c>
      <c r="B42" s="15" t="s">
        <v>150</v>
      </c>
      <c r="C42" s="15" t="s">
        <v>22</v>
      </c>
      <c r="D42" s="15" t="s">
        <v>169</v>
      </c>
      <c r="E42" s="15" t="s">
        <v>170</v>
      </c>
      <c r="F42" s="15" t="s">
        <v>171</v>
      </c>
    </row>
    <row r="43" customFormat="false" ht="15" hidden="false" customHeight="true" outlineLevel="0" collapsed="false">
      <c r="A43" s="15" t="s">
        <v>35</v>
      </c>
      <c r="B43" s="15" t="s">
        <v>172</v>
      </c>
      <c r="C43" s="15" t="s">
        <v>23</v>
      </c>
      <c r="D43" s="15" t="s">
        <v>173</v>
      </c>
      <c r="E43" s="15" t="s">
        <v>174</v>
      </c>
      <c r="F43" s="15" t="s">
        <v>175</v>
      </c>
    </row>
    <row r="44" customFormat="false" ht="15" hidden="false" customHeight="true" outlineLevel="0" collapsed="false">
      <c r="A44" s="15" t="s">
        <v>35</v>
      </c>
      <c r="B44" s="15" t="s">
        <v>172</v>
      </c>
      <c r="C44" s="15" t="s">
        <v>24</v>
      </c>
      <c r="D44" s="15" t="s">
        <v>176</v>
      </c>
      <c r="E44" s="15" t="s">
        <v>177</v>
      </c>
      <c r="F44" s="15" t="s">
        <v>178</v>
      </c>
    </row>
    <row r="45" customFormat="false" ht="15" hidden="false" customHeight="true" outlineLevel="0" collapsed="false">
      <c r="A45" s="15" t="s">
        <v>35</v>
      </c>
      <c r="B45" s="15" t="s">
        <v>172</v>
      </c>
      <c r="C45" s="15" t="s">
        <v>22</v>
      </c>
      <c r="D45" s="15" t="s">
        <v>179</v>
      </c>
      <c r="E45" s="15" t="s">
        <v>180</v>
      </c>
      <c r="F45" s="15" t="s">
        <v>181</v>
      </c>
    </row>
    <row r="46" customFormat="false" ht="15" hidden="false" customHeight="true" outlineLevel="0" collapsed="false">
      <c r="A46" s="15" t="s">
        <v>35</v>
      </c>
      <c r="B46" s="15" t="s">
        <v>172</v>
      </c>
      <c r="C46" s="15" t="s">
        <v>23</v>
      </c>
      <c r="D46" s="15" t="s">
        <v>179</v>
      </c>
      <c r="E46" s="15" t="s">
        <v>182</v>
      </c>
      <c r="F46" s="15" t="s">
        <v>183</v>
      </c>
    </row>
    <row r="47" customFormat="false" ht="15" hidden="false" customHeight="true" outlineLevel="0" collapsed="false">
      <c r="A47" s="15" t="s">
        <v>35</v>
      </c>
      <c r="B47" s="15" t="s">
        <v>172</v>
      </c>
      <c r="C47" s="15" t="s">
        <v>26</v>
      </c>
      <c r="D47" s="15" t="s">
        <v>184</v>
      </c>
      <c r="E47" s="15" t="s">
        <v>185</v>
      </c>
      <c r="F47" s="15" t="s">
        <v>186</v>
      </c>
    </row>
    <row r="48" customFormat="false" ht="15" hidden="false" customHeight="true" outlineLevel="0" collapsed="false">
      <c r="A48" s="15" t="s">
        <v>35</v>
      </c>
      <c r="B48" s="15" t="s">
        <v>172</v>
      </c>
      <c r="C48" s="15" t="s">
        <v>25</v>
      </c>
      <c r="D48" s="15" t="s">
        <v>184</v>
      </c>
      <c r="E48" s="15" t="s">
        <v>187</v>
      </c>
      <c r="F48" s="15" t="s">
        <v>188</v>
      </c>
    </row>
    <row r="49" customFormat="false" ht="15" hidden="false" customHeight="true" outlineLevel="0" collapsed="false">
      <c r="A49" s="15" t="s">
        <v>35</v>
      </c>
      <c r="B49" s="15" t="s">
        <v>172</v>
      </c>
      <c r="C49" s="15" t="s">
        <v>22</v>
      </c>
      <c r="D49" s="15" t="s">
        <v>189</v>
      </c>
      <c r="E49" s="15" t="s">
        <v>190</v>
      </c>
      <c r="F49" s="15" t="s">
        <v>191</v>
      </c>
    </row>
    <row r="50" customFormat="false" ht="15" hidden="false" customHeight="true" outlineLevel="0" collapsed="false">
      <c r="A50" s="15" t="s">
        <v>36</v>
      </c>
      <c r="B50" s="15" t="s">
        <v>192</v>
      </c>
      <c r="C50" s="15" t="s">
        <v>22</v>
      </c>
      <c r="D50" s="15" t="s">
        <v>193</v>
      </c>
      <c r="E50" s="15" t="s">
        <v>95</v>
      </c>
      <c r="F50" s="15" t="s">
        <v>194</v>
      </c>
    </row>
    <row r="51" customFormat="false" ht="15" hidden="false" customHeight="true" outlineLevel="0" collapsed="false">
      <c r="A51" s="15" t="s">
        <v>36</v>
      </c>
      <c r="B51" s="15" t="s">
        <v>192</v>
      </c>
      <c r="C51" s="15" t="s">
        <v>23</v>
      </c>
      <c r="D51" s="15" t="s">
        <v>193</v>
      </c>
      <c r="E51" s="15" t="s">
        <v>163</v>
      </c>
      <c r="F51" s="15" t="s">
        <v>195</v>
      </c>
    </row>
    <row r="52" customFormat="false" ht="15" hidden="false" customHeight="true" outlineLevel="0" collapsed="false">
      <c r="A52" s="15" t="s">
        <v>36</v>
      </c>
      <c r="B52" s="15" t="s">
        <v>192</v>
      </c>
      <c r="C52" s="15" t="s">
        <v>23</v>
      </c>
      <c r="D52" s="15" t="s">
        <v>196</v>
      </c>
      <c r="E52" s="15" t="s">
        <v>197</v>
      </c>
      <c r="F52" s="15" t="s">
        <v>198</v>
      </c>
    </row>
    <row r="53" customFormat="false" ht="15" hidden="false" customHeight="true" outlineLevel="0" collapsed="false">
      <c r="A53" s="15" t="s">
        <v>36</v>
      </c>
      <c r="B53" s="15" t="s">
        <v>192</v>
      </c>
      <c r="C53" s="15" t="s">
        <v>26</v>
      </c>
      <c r="D53" s="15" t="s">
        <v>199</v>
      </c>
      <c r="E53" s="15" t="s">
        <v>166</v>
      </c>
      <c r="F53" s="15" t="s">
        <v>200</v>
      </c>
    </row>
    <row r="54" customFormat="false" ht="15" hidden="false" customHeight="true" outlineLevel="0" collapsed="false">
      <c r="A54" s="15" t="s">
        <v>36</v>
      </c>
      <c r="B54" s="15" t="s">
        <v>192</v>
      </c>
      <c r="C54" s="15" t="s">
        <v>22</v>
      </c>
      <c r="D54" s="15" t="s">
        <v>199</v>
      </c>
      <c r="E54" s="15" t="s">
        <v>201</v>
      </c>
      <c r="F54" s="15"/>
    </row>
    <row r="55" customFormat="false" ht="15" hidden="false" customHeight="true" outlineLevel="0" collapsed="false">
      <c r="A55" s="15" t="s">
        <v>36</v>
      </c>
      <c r="B55" s="15" t="s">
        <v>192</v>
      </c>
      <c r="C55" s="15" t="s">
        <v>25</v>
      </c>
      <c r="D55" s="15" t="s">
        <v>199</v>
      </c>
      <c r="E55" s="15" t="s">
        <v>104</v>
      </c>
      <c r="F55" s="15"/>
    </row>
    <row r="56" customFormat="false" ht="15" hidden="false" customHeight="true" outlineLevel="0" collapsed="false">
      <c r="A56" s="15" t="s">
        <v>36</v>
      </c>
      <c r="B56" s="15" t="s">
        <v>192</v>
      </c>
      <c r="C56" s="15" t="s">
        <v>22</v>
      </c>
      <c r="D56" s="15" t="s">
        <v>202</v>
      </c>
      <c r="E56" s="15" t="s">
        <v>203</v>
      </c>
      <c r="F56" s="15" t="s">
        <v>204</v>
      </c>
    </row>
    <row r="57" customFormat="false" ht="15" hidden="false" customHeight="true" outlineLevel="0" collapsed="false">
      <c r="A57" s="15" t="s">
        <v>36</v>
      </c>
      <c r="B57" s="15" t="s">
        <v>192</v>
      </c>
      <c r="C57" s="15" t="s">
        <v>22</v>
      </c>
      <c r="D57" s="15" t="s">
        <v>205</v>
      </c>
      <c r="E57" s="15" t="s">
        <v>206</v>
      </c>
      <c r="F57" s="15" t="s">
        <v>207</v>
      </c>
    </row>
    <row r="58" customFormat="false" ht="15" hidden="false" customHeight="true" outlineLevel="0" collapsed="false">
      <c r="A58" s="15" t="s">
        <v>36</v>
      </c>
      <c r="B58" s="15" t="s">
        <v>192</v>
      </c>
      <c r="C58" s="15" t="s">
        <v>22</v>
      </c>
      <c r="D58" s="15" t="s">
        <v>208</v>
      </c>
      <c r="E58" s="15" t="s">
        <v>209</v>
      </c>
      <c r="F58" s="15" t="s">
        <v>210</v>
      </c>
    </row>
    <row r="59" customFormat="false" ht="15" hidden="false" customHeight="true" outlineLevel="0" collapsed="false">
      <c r="A59" s="15" t="s">
        <v>36</v>
      </c>
      <c r="B59" s="15" t="s">
        <v>192</v>
      </c>
      <c r="C59" s="15" t="s">
        <v>22</v>
      </c>
      <c r="D59" s="15" t="s">
        <v>211</v>
      </c>
      <c r="E59" s="15" t="s">
        <v>212</v>
      </c>
      <c r="F59" s="15" t="s">
        <v>213</v>
      </c>
    </row>
    <row r="60" customFormat="false" ht="15" hidden="false" customHeight="true" outlineLevel="0" collapsed="false">
      <c r="A60" s="15" t="s">
        <v>36</v>
      </c>
      <c r="B60" s="15" t="s">
        <v>192</v>
      </c>
      <c r="C60" s="15" t="s">
        <v>22</v>
      </c>
      <c r="D60" s="15" t="s">
        <v>214</v>
      </c>
      <c r="E60" s="15" t="s">
        <v>215</v>
      </c>
      <c r="F60" s="15" t="s">
        <v>216</v>
      </c>
    </row>
    <row r="61" customFormat="false" ht="15" hidden="false" customHeight="true" outlineLevel="0" collapsed="false">
      <c r="A61" s="15" t="s">
        <v>36</v>
      </c>
      <c r="B61" s="15" t="s">
        <v>192</v>
      </c>
      <c r="C61" s="15" t="s">
        <v>22</v>
      </c>
      <c r="D61" s="15" t="s">
        <v>217</v>
      </c>
      <c r="E61" s="15" t="s">
        <v>218</v>
      </c>
      <c r="F61" s="15" t="s">
        <v>219</v>
      </c>
    </row>
    <row r="62" customFormat="false" ht="15" hidden="false" customHeight="true" outlineLevel="0" collapsed="false">
      <c r="A62" s="15" t="s">
        <v>37</v>
      </c>
      <c r="B62" s="15" t="s">
        <v>220</v>
      </c>
      <c r="C62" s="15" t="s">
        <v>22</v>
      </c>
      <c r="D62" s="15" t="s">
        <v>221</v>
      </c>
      <c r="E62" s="15" t="s">
        <v>222</v>
      </c>
      <c r="F62" s="15" t="s">
        <v>223</v>
      </c>
    </row>
    <row r="63" customFormat="false" ht="15" hidden="false" customHeight="true" outlineLevel="0" collapsed="false">
      <c r="A63" s="15" t="s">
        <v>37</v>
      </c>
      <c r="B63" s="15" t="s">
        <v>220</v>
      </c>
      <c r="C63" s="15" t="s">
        <v>22</v>
      </c>
      <c r="D63" s="15" t="s">
        <v>224</v>
      </c>
      <c r="E63" s="15" t="s">
        <v>225</v>
      </c>
      <c r="F63" s="15" t="s">
        <v>226</v>
      </c>
    </row>
    <row r="64" customFormat="false" ht="15" hidden="false" customHeight="true" outlineLevel="0" collapsed="false">
      <c r="A64" s="15" t="s">
        <v>37</v>
      </c>
      <c r="B64" s="15" t="s">
        <v>220</v>
      </c>
      <c r="C64" s="15" t="s">
        <v>22</v>
      </c>
      <c r="D64" s="15" t="s">
        <v>227</v>
      </c>
      <c r="E64" s="15" t="s">
        <v>228</v>
      </c>
      <c r="F64" s="15" t="s">
        <v>229</v>
      </c>
    </row>
    <row r="65" customFormat="false" ht="15" hidden="false" customHeight="true" outlineLevel="0" collapsed="false">
      <c r="A65" s="15" t="s">
        <v>37</v>
      </c>
      <c r="B65" s="15" t="s">
        <v>220</v>
      </c>
      <c r="C65" s="15" t="s">
        <v>22</v>
      </c>
      <c r="D65" s="15" t="s">
        <v>230</v>
      </c>
      <c r="E65" s="15" t="s">
        <v>231</v>
      </c>
      <c r="F65" s="15" t="s">
        <v>232</v>
      </c>
    </row>
    <row r="66" customFormat="false" ht="15" hidden="false" customHeight="true" outlineLevel="0" collapsed="false">
      <c r="A66" s="15" t="s">
        <v>37</v>
      </c>
      <c r="B66" s="15" t="s">
        <v>220</v>
      </c>
      <c r="C66" s="15" t="s">
        <v>22</v>
      </c>
      <c r="D66" s="15" t="s">
        <v>233</v>
      </c>
      <c r="E66" s="15" t="s">
        <v>234</v>
      </c>
      <c r="F66" s="15" t="s">
        <v>235</v>
      </c>
    </row>
    <row r="67" customFormat="false" ht="15" hidden="false" customHeight="true" outlineLevel="0" collapsed="false">
      <c r="A67" s="15" t="s">
        <v>37</v>
      </c>
      <c r="B67" s="15" t="s">
        <v>220</v>
      </c>
      <c r="C67" s="15" t="s">
        <v>22</v>
      </c>
      <c r="D67" s="15" t="s">
        <v>236</v>
      </c>
      <c r="E67" s="15" t="s">
        <v>237</v>
      </c>
      <c r="F67" s="15" t="s">
        <v>238</v>
      </c>
    </row>
    <row r="68" customFormat="false" ht="15" hidden="false" customHeight="true" outlineLevel="0" collapsed="false">
      <c r="A68" s="15" t="s">
        <v>38</v>
      </c>
      <c r="B68" s="15" t="s">
        <v>239</v>
      </c>
      <c r="C68" s="15" t="s">
        <v>22</v>
      </c>
      <c r="D68" s="15" t="s">
        <v>240</v>
      </c>
      <c r="E68" s="15" t="s">
        <v>95</v>
      </c>
      <c r="F68" s="15" t="s">
        <v>241</v>
      </c>
    </row>
    <row r="69" customFormat="false" ht="15" hidden="false" customHeight="true" outlineLevel="0" collapsed="false">
      <c r="A69" s="15" t="s">
        <v>38</v>
      </c>
      <c r="B69" s="15" t="s">
        <v>239</v>
      </c>
      <c r="C69" s="15" t="s">
        <v>22</v>
      </c>
      <c r="D69" s="15" t="s">
        <v>242</v>
      </c>
      <c r="E69" s="15" t="s">
        <v>201</v>
      </c>
      <c r="F69" s="15"/>
    </row>
    <row r="70" customFormat="false" ht="15" hidden="false" customHeight="true" outlineLevel="0" collapsed="false">
      <c r="A70" s="15" t="s">
        <v>38</v>
      </c>
      <c r="B70" s="15" t="s">
        <v>239</v>
      </c>
      <c r="C70" s="15" t="s">
        <v>25</v>
      </c>
      <c r="D70" s="15" t="s">
        <v>242</v>
      </c>
      <c r="E70" s="15" t="s">
        <v>104</v>
      </c>
      <c r="F70" s="15" t="s">
        <v>243</v>
      </c>
    </row>
    <row r="71" customFormat="false" ht="15" hidden="false" customHeight="true" outlineLevel="0" collapsed="false">
      <c r="A71" s="15" t="s">
        <v>38</v>
      </c>
      <c r="B71" s="15" t="s">
        <v>239</v>
      </c>
      <c r="C71" s="15" t="s">
        <v>23</v>
      </c>
      <c r="D71" s="15" t="s">
        <v>244</v>
      </c>
      <c r="E71" s="15" t="s">
        <v>245</v>
      </c>
      <c r="F71" s="15" t="s">
        <v>246</v>
      </c>
    </row>
    <row r="72" customFormat="false" ht="15" hidden="false" customHeight="true" outlineLevel="0" collapsed="false">
      <c r="A72" s="15" t="s">
        <v>38</v>
      </c>
      <c r="B72" s="15" t="s">
        <v>239</v>
      </c>
      <c r="C72" s="15" t="s">
        <v>26</v>
      </c>
      <c r="D72" s="15" t="s">
        <v>247</v>
      </c>
      <c r="E72" s="15" t="s">
        <v>248</v>
      </c>
      <c r="F72" s="15" t="s">
        <v>249</v>
      </c>
    </row>
    <row r="73" customFormat="false" ht="15" hidden="false" customHeight="true" outlineLevel="0" collapsed="false">
      <c r="A73" s="15" t="s">
        <v>38</v>
      </c>
      <c r="B73" s="15" t="s">
        <v>239</v>
      </c>
      <c r="C73" s="15" t="s">
        <v>22</v>
      </c>
      <c r="D73" s="15" t="s">
        <v>250</v>
      </c>
      <c r="E73" s="15" t="s">
        <v>251</v>
      </c>
      <c r="F73" s="15" t="s">
        <v>252</v>
      </c>
    </row>
    <row r="74" customFormat="false" ht="15" hidden="false" customHeight="true" outlineLevel="0" collapsed="false">
      <c r="A74" s="15" t="s">
        <v>38</v>
      </c>
      <c r="B74" s="15" t="s">
        <v>239</v>
      </c>
      <c r="C74" s="15" t="s">
        <v>23</v>
      </c>
      <c r="D74" s="15" t="s">
        <v>253</v>
      </c>
      <c r="E74" s="15" t="s">
        <v>254</v>
      </c>
      <c r="F74" s="15" t="s">
        <v>255</v>
      </c>
    </row>
    <row r="75" customFormat="false" ht="15" hidden="false" customHeight="true" outlineLevel="0" collapsed="false">
      <c r="A75" s="15" t="s">
        <v>39</v>
      </c>
      <c r="B75" s="15" t="s">
        <v>256</v>
      </c>
      <c r="C75" s="15" t="s">
        <v>22</v>
      </c>
      <c r="D75" s="15" t="s">
        <v>257</v>
      </c>
      <c r="E75" s="15" t="s">
        <v>258</v>
      </c>
      <c r="F75" s="15" t="s">
        <v>259</v>
      </c>
    </row>
    <row r="76" customFormat="false" ht="15" hidden="false" customHeight="true" outlineLevel="0" collapsed="false">
      <c r="A76" s="15" t="s">
        <v>39</v>
      </c>
      <c r="B76" s="15" t="s">
        <v>256</v>
      </c>
      <c r="C76" s="15" t="s">
        <v>25</v>
      </c>
      <c r="D76" s="15" t="s">
        <v>257</v>
      </c>
      <c r="E76" s="15" t="s">
        <v>260</v>
      </c>
      <c r="F76" s="15" t="s">
        <v>261</v>
      </c>
    </row>
    <row r="77" customFormat="false" ht="15" hidden="false" customHeight="true" outlineLevel="0" collapsed="false">
      <c r="A77" s="15" t="s">
        <v>39</v>
      </c>
      <c r="B77" s="15" t="s">
        <v>256</v>
      </c>
      <c r="C77" s="15" t="s">
        <v>22</v>
      </c>
      <c r="D77" s="15" t="s">
        <v>262</v>
      </c>
      <c r="E77" s="15" t="s">
        <v>263</v>
      </c>
      <c r="F77" s="15" t="s">
        <v>264</v>
      </c>
    </row>
    <row r="78" customFormat="false" ht="15" hidden="false" customHeight="true" outlineLevel="0" collapsed="false">
      <c r="A78" s="15" t="s">
        <v>39</v>
      </c>
      <c r="B78" s="15" t="s">
        <v>256</v>
      </c>
      <c r="C78" s="15" t="s">
        <v>23</v>
      </c>
      <c r="D78" s="15" t="s">
        <v>262</v>
      </c>
      <c r="E78" s="15" t="s">
        <v>265</v>
      </c>
      <c r="F78" s="15" t="s">
        <v>266</v>
      </c>
    </row>
    <row r="79" customFormat="false" ht="15" hidden="false" customHeight="true" outlineLevel="0" collapsed="false">
      <c r="A79" s="15" t="s">
        <v>39</v>
      </c>
      <c r="B79" s="15" t="s">
        <v>256</v>
      </c>
      <c r="C79" s="15" t="s">
        <v>26</v>
      </c>
      <c r="D79" s="15" t="s">
        <v>267</v>
      </c>
      <c r="E79" s="15" t="s">
        <v>268</v>
      </c>
      <c r="F79" s="15" t="s">
        <v>269</v>
      </c>
    </row>
    <row r="80" customFormat="false" ht="15" hidden="false" customHeight="true" outlineLevel="0" collapsed="false">
      <c r="A80" s="15" t="s">
        <v>39</v>
      </c>
      <c r="B80" s="15" t="s">
        <v>256</v>
      </c>
      <c r="C80" s="15" t="s">
        <v>25</v>
      </c>
      <c r="D80" s="15" t="s">
        <v>267</v>
      </c>
      <c r="E80" s="15" t="s">
        <v>270</v>
      </c>
      <c r="F80" s="15" t="s">
        <v>271</v>
      </c>
    </row>
    <row r="81" customFormat="false" ht="15" hidden="false" customHeight="true" outlineLevel="0" collapsed="false">
      <c r="A81" s="15" t="s">
        <v>40</v>
      </c>
      <c r="B81" s="15" t="s">
        <v>272</v>
      </c>
      <c r="C81" s="15" t="s">
        <v>22</v>
      </c>
      <c r="D81" s="15" t="s">
        <v>273</v>
      </c>
      <c r="E81" s="15" t="s">
        <v>274</v>
      </c>
      <c r="F81" s="15" t="s">
        <v>275</v>
      </c>
    </row>
    <row r="82" customFormat="false" ht="15" hidden="false" customHeight="true" outlineLevel="0" collapsed="false">
      <c r="A82" s="15" t="s">
        <v>40</v>
      </c>
      <c r="B82" s="15" t="s">
        <v>272</v>
      </c>
      <c r="C82" s="15" t="s">
        <v>22</v>
      </c>
      <c r="D82" s="15" t="s">
        <v>276</v>
      </c>
      <c r="E82" s="15" t="s">
        <v>277</v>
      </c>
      <c r="F82" s="15"/>
    </row>
    <row r="83" customFormat="false" ht="15" hidden="false" customHeight="true" outlineLevel="0" collapsed="false">
      <c r="A83" s="15" t="s">
        <v>40</v>
      </c>
      <c r="B83" s="15" t="s">
        <v>272</v>
      </c>
      <c r="C83" s="15" t="s">
        <v>22</v>
      </c>
      <c r="D83" s="15" t="s">
        <v>278</v>
      </c>
      <c r="E83" s="15" t="s">
        <v>279</v>
      </c>
      <c r="F83" s="15" t="s">
        <v>280</v>
      </c>
    </row>
    <row r="84" customFormat="false" ht="15" hidden="false" customHeight="true" outlineLevel="0" collapsed="false">
      <c r="A84" s="15" t="s">
        <v>40</v>
      </c>
      <c r="B84" s="15" t="s">
        <v>272</v>
      </c>
      <c r="C84" s="15" t="s">
        <v>22</v>
      </c>
      <c r="D84" s="15" t="s">
        <v>281</v>
      </c>
      <c r="E84" s="15" t="s">
        <v>282</v>
      </c>
      <c r="F84" s="15" t="s">
        <v>283</v>
      </c>
    </row>
    <row r="85" customFormat="false" ht="15" hidden="false" customHeight="true" outlineLevel="0" collapsed="false">
      <c r="A85" s="15" t="s">
        <v>40</v>
      </c>
      <c r="B85" s="15" t="s">
        <v>272</v>
      </c>
      <c r="C85" s="15" t="s">
        <v>22</v>
      </c>
      <c r="D85" s="15" t="s">
        <v>284</v>
      </c>
      <c r="E85" s="15" t="s">
        <v>285</v>
      </c>
      <c r="F85" s="15" t="s">
        <v>286</v>
      </c>
    </row>
    <row r="86" customFormat="false" ht="15" hidden="false" customHeight="true" outlineLevel="0" collapsed="false">
      <c r="A86" s="15" t="s">
        <v>40</v>
      </c>
      <c r="B86" s="15" t="s">
        <v>272</v>
      </c>
      <c r="C86" s="15" t="s">
        <v>22</v>
      </c>
      <c r="D86" s="15" t="s">
        <v>287</v>
      </c>
      <c r="E86" s="15" t="s">
        <v>288</v>
      </c>
      <c r="F86" s="15" t="s">
        <v>289</v>
      </c>
    </row>
    <row r="87" customFormat="false" ht="15" hidden="false" customHeight="true" outlineLevel="0" collapsed="false">
      <c r="A87" s="15" t="s">
        <v>40</v>
      </c>
      <c r="B87" s="15" t="s">
        <v>272</v>
      </c>
      <c r="C87" s="15" t="s">
        <v>22</v>
      </c>
      <c r="D87" s="15" t="s">
        <v>290</v>
      </c>
      <c r="E87" s="15" t="s">
        <v>291</v>
      </c>
      <c r="F87" s="15" t="s">
        <v>292</v>
      </c>
    </row>
    <row r="88" customFormat="false" ht="15" hidden="false" customHeight="true" outlineLevel="0" collapsed="false">
      <c r="A88" s="15" t="s">
        <v>40</v>
      </c>
      <c r="B88" s="15" t="s">
        <v>272</v>
      </c>
      <c r="C88" s="15" t="s">
        <v>22</v>
      </c>
      <c r="D88" s="15" t="s">
        <v>293</v>
      </c>
      <c r="E88" s="15" t="s">
        <v>294</v>
      </c>
      <c r="F88" s="15" t="s">
        <v>295</v>
      </c>
    </row>
    <row r="89" customFormat="false" ht="15" hidden="false" customHeight="true" outlineLevel="0" collapsed="false">
      <c r="A89" s="15" t="s">
        <v>40</v>
      </c>
      <c r="B89" s="15" t="s">
        <v>272</v>
      </c>
      <c r="C89" s="15" t="s">
        <v>22</v>
      </c>
      <c r="D89" s="15" t="s">
        <v>296</v>
      </c>
      <c r="E89" s="15" t="s">
        <v>297</v>
      </c>
      <c r="F89" s="15" t="s">
        <v>298</v>
      </c>
    </row>
    <row r="90" customFormat="false" ht="15" hidden="false" customHeight="true" outlineLevel="0" collapsed="false">
      <c r="A90" s="15" t="s">
        <v>40</v>
      </c>
      <c r="B90" s="15" t="s">
        <v>272</v>
      </c>
      <c r="C90" s="15" t="s">
        <v>22</v>
      </c>
      <c r="D90" s="15" t="s">
        <v>299</v>
      </c>
      <c r="E90" s="15" t="s">
        <v>300</v>
      </c>
      <c r="F90" s="15" t="s">
        <v>301</v>
      </c>
    </row>
    <row r="91" customFormat="false" ht="15" hidden="false" customHeight="true" outlineLevel="0" collapsed="false">
      <c r="A91" s="15" t="s">
        <v>40</v>
      </c>
      <c r="B91" s="15" t="s">
        <v>272</v>
      </c>
      <c r="C91" s="15" t="s">
        <v>22</v>
      </c>
      <c r="D91" s="15" t="s">
        <v>302</v>
      </c>
      <c r="E91" s="15" t="s">
        <v>303</v>
      </c>
      <c r="F91" s="15" t="s">
        <v>304</v>
      </c>
    </row>
    <row r="92" customFormat="false" ht="15" hidden="false" customHeight="true" outlineLevel="0" collapsed="false">
      <c r="A92" s="15" t="s">
        <v>40</v>
      </c>
      <c r="B92" s="15" t="s">
        <v>272</v>
      </c>
      <c r="C92" s="15" t="s">
        <v>25</v>
      </c>
      <c r="D92" s="15" t="s">
        <v>305</v>
      </c>
      <c r="E92" s="15" t="s">
        <v>306</v>
      </c>
      <c r="F92" s="15" t="s">
        <v>307</v>
      </c>
    </row>
    <row r="93" customFormat="false" ht="15" hidden="false" customHeight="true" outlineLevel="0" collapsed="false">
      <c r="A93" s="15" t="s">
        <v>41</v>
      </c>
      <c r="B93" s="15" t="s">
        <v>308</v>
      </c>
      <c r="C93" s="15" t="s">
        <v>22</v>
      </c>
      <c r="D93" s="15" t="s">
        <v>309</v>
      </c>
      <c r="E93" s="15" t="s">
        <v>95</v>
      </c>
      <c r="F93" s="15" t="s">
        <v>310</v>
      </c>
    </row>
    <row r="94" customFormat="false" ht="15" hidden="false" customHeight="true" outlineLevel="0" collapsed="false">
      <c r="A94" s="15" t="s">
        <v>41</v>
      </c>
      <c r="B94" s="15" t="s">
        <v>308</v>
      </c>
      <c r="C94" s="15" t="s">
        <v>23</v>
      </c>
      <c r="D94" s="15" t="s">
        <v>309</v>
      </c>
      <c r="E94" s="15" t="s">
        <v>163</v>
      </c>
      <c r="F94" s="15" t="s">
        <v>311</v>
      </c>
    </row>
    <row r="95" customFormat="false" ht="15" hidden="false" customHeight="true" outlineLevel="0" collapsed="false">
      <c r="A95" s="15" t="s">
        <v>41</v>
      </c>
      <c r="B95" s="15" t="s">
        <v>308</v>
      </c>
      <c r="C95" s="15" t="s">
        <v>26</v>
      </c>
      <c r="D95" s="15" t="s">
        <v>312</v>
      </c>
      <c r="E95" s="15" t="s">
        <v>166</v>
      </c>
      <c r="F95" s="15" t="s">
        <v>313</v>
      </c>
    </row>
    <row r="96" customFormat="false" ht="15" hidden="false" customHeight="true" outlineLevel="0" collapsed="false">
      <c r="A96" s="15" t="s">
        <v>41</v>
      </c>
      <c r="B96" s="15" t="s">
        <v>308</v>
      </c>
      <c r="C96" s="15" t="s">
        <v>25</v>
      </c>
      <c r="D96" s="15" t="s">
        <v>312</v>
      </c>
      <c r="E96" s="15" t="s">
        <v>104</v>
      </c>
      <c r="F96" s="15" t="s">
        <v>314</v>
      </c>
    </row>
    <row r="97" customFormat="false" ht="15" hidden="false" customHeight="true" outlineLevel="0" collapsed="false">
      <c r="A97" s="15" t="s">
        <v>41</v>
      </c>
      <c r="B97" s="15" t="s">
        <v>308</v>
      </c>
      <c r="C97" s="15" t="s">
        <v>22</v>
      </c>
      <c r="D97" s="15" t="s">
        <v>315</v>
      </c>
      <c r="E97" s="15" t="s">
        <v>316</v>
      </c>
      <c r="F97" s="15" t="s">
        <v>317</v>
      </c>
    </row>
    <row r="98" customFormat="false" ht="15" hidden="false" customHeight="true" outlineLevel="0" collapsed="false">
      <c r="A98" s="15" t="s">
        <v>41</v>
      </c>
      <c r="B98" s="15" t="s">
        <v>308</v>
      </c>
      <c r="C98" s="15" t="s">
        <v>23</v>
      </c>
      <c r="D98" s="15" t="s">
        <v>318</v>
      </c>
      <c r="E98" s="15" t="s">
        <v>319</v>
      </c>
      <c r="F98" s="15" t="s">
        <v>320</v>
      </c>
    </row>
    <row r="99" customFormat="false" ht="15" hidden="false" customHeight="true" outlineLevel="0" collapsed="false">
      <c r="A99" s="15" t="s">
        <v>42</v>
      </c>
      <c r="B99" s="15" t="s">
        <v>321</v>
      </c>
      <c r="C99" s="15" t="s">
        <v>22</v>
      </c>
      <c r="D99" s="15" t="s">
        <v>322</v>
      </c>
      <c r="E99" s="15" t="s">
        <v>201</v>
      </c>
      <c r="F99" s="15" t="s">
        <v>323</v>
      </c>
    </row>
    <row r="100" customFormat="false" ht="15" hidden="false" customHeight="true" outlineLevel="0" collapsed="false">
      <c r="A100" s="15" t="s">
        <v>42</v>
      </c>
      <c r="B100" s="15" t="s">
        <v>321</v>
      </c>
      <c r="C100" s="15" t="s">
        <v>25</v>
      </c>
      <c r="D100" s="15" t="s">
        <v>322</v>
      </c>
      <c r="E100" s="15" t="s">
        <v>104</v>
      </c>
      <c r="F100" s="15" t="s">
        <v>324</v>
      </c>
    </row>
    <row r="101" customFormat="false" ht="15" hidden="false" customHeight="true" outlineLevel="0" collapsed="false">
      <c r="A101" s="15" t="s">
        <v>42</v>
      </c>
      <c r="B101" s="15" t="s">
        <v>321</v>
      </c>
      <c r="C101" s="15" t="s">
        <v>23</v>
      </c>
      <c r="D101" s="15" t="s">
        <v>325</v>
      </c>
      <c r="E101" s="15" t="s">
        <v>326</v>
      </c>
      <c r="F101" s="15" t="s">
        <v>327</v>
      </c>
    </row>
    <row r="102" customFormat="false" ht="15" hidden="false" customHeight="true" outlineLevel="0" collapsed="false">
      <c r="A102" s="15" t="s">
        <v>43</v>
      </c>
      <c r="B102" s="15" t="s">
        <v>328</v>
      </c>
      <c r="C102" s="15" t="s">
        <v>22</v>
      </c>
      <c r="D102" s="15" t="s">
        <v>329</v>
      </c>
      <c r="E102" s="15" t="s">
        <v>330</v>
      </c>
      <c r="F102" s="15" t="s">
        <v>331</v>
      </c>
    </row>
    <row r="103" customFormat="false" ht="15" hidden="false" customHeight="true" outlineLevel="0" collapsed="false">
      <c r="A103" s="15" t="s">
        <v>43</v>
      </c>
      <c r="B103" s="15" t="s">
        <v>328</v>
      </c>
      <c r="C103" s="15" t="s">
        <v>25</v>
      </c>
      <c r="D103" s="15" t="s">
        <v>329</v>
      </c>
      <c r="E103" s="15" t="s">
        <v>332</v>
      </c>
      <c r="F103" s="15" t="s">
        <v>333</v>
      </c>
    </row>
    <row r="104" customFormat="false" ht="15" hidden="false" customHeight="true" outlineLevel="0" collapsed="false">
      <c r="A104" s="15" t="s">
        <v>44</v>
      </c>
      <c r="B104" s="15" t="s">
        <v>334</v>
      </c>
      <c r="C104" s="15" t="s">
        <v>22</v>
      </c>
      <c r="D104" s="15" t="s">
        <v>335</v>
      </c>
      <c r="E104" s="15" t="s">
        <v>336</v>
      </c>
      <c r="F104" s="15" t="s">
        <v>337</v>
      </c>
    </row>
    <row r="105" customFormat="false" ht="15" hidden="false" customHeight="true" outlineLevel="0" collapsed="false">
      <c r="A105" s="15" t="s">
        <v>44</v>
      </c>
      <c r="B105" s="15" t="s">
        <v>334</v>
      </c>
      <c r="C105" s="15" t="s">
        <v>23</v>
      </c>
      <c r="D105" s="15" t="s">
        <v>335</v>
      </c>
      <c r="E105" s="15" t="s">
        <v>338</v>
      </c>
      <c r="F105" s="15" t="s">
        <v>339</v>
      </c>
    </row>
    <row r="106" customFormat="false" ht="15" hidden="false" customHeight="true" outlineLevel="0" collapsed="false">
      <c r="A106" s="15" t="s">
        <v>44</v>
      </c>
      <c r="B106" s="15" t="s">
        <v>334</v>
      </c>
      <c r="C106" s="15" t="s">
        <v>26</v>
      </c>
      <c r="D106" s="15" t="s">
        <v>340</v>
      </c>
      <c r="E106" s="15" t="s">
        <v>341</v>
      </c>
      <c r="F106" s="15"/>
    </row>
    <row r="107" customFormat="false" ht="15" hidden="false" customHeight="true" outlineLevel="0" collapsed="false">
      <c r="A107" s="15" t="s">
        <v>44</v>
      </c>
      <c r="B107" s="15" t="s">
        <v>334</v>
      </c>
      <c r="C107" s="15" t="s">
        <v>22</v>
      </c>
      <c r="D107" s="15" t="s">
        <v>340</v>
      </c>
      <c r="E107" s="15" t="s">
        <v>342</v>
      </c>
      <c r="F107" s="15"/>
    </row>
    <row r="108" customFormat="false" ht="15" hidden="false" customHeight="true" outlineLevel="0" collapsed="false">
      <c r="A108" s="15" t="s">
        <v>44</v>
      </c>
      <c r="B108" s="15" t="s">
        <v>334</v>
      </c>
      <c r="C108" s="15" t="s">
        <v>25</v>
      </c>
      <c r="D108" s="15" t="s">
        <v>340</v>
      </c>
      <c r="E108" s="15" t="s">
        <v>343</v>
      </c>
      <c r="F108" s="15"/>
    </row>
    <row r="109" customFormat="false" ht="15" hidden="false" customHeight="true" outlineLevel="0" collapsed="false">
      <c r="A109" s="15" t="s">
        <v>44</v>
      </c>
      <c r="B109" s="15" t="s">
        <v>334</v>
      </c>
      <c r="C109" s="15" t="s">
        <v>23</v>
      </c>
      <c r="D109" s="15" t="s">
        <v>344</v>
      </c>
      <c r="E109" s="15" t="s">
        <v>345</v>
      </c>
      <c r="F109" s="15"/>
    </row>
    <row r="110" customFormat="false" ht="15" hidden="false" customHeight="true" outlineLevel="0" collapsed="false">
      <c r="A110" s="15" t="s">
        <v>44</v>
      </c>
      <c r="B110" s="15" t="s">
        <v>334</v>
      </c>
      <c r="C110" s="15" t="s">
        <v>22</v>
      </c>
      <c r="D110" s="15" t="s">
        <v>346</v>
      </c>
      <c r="E110" s="15" t="s">
        <v>347</v>
      </c>
      <c r="F110" s="15" t="s">
        <v>348</v>
      </c>
    </row>
    <row r="111" customFormat="false" ht="15" hidden="false" customHeight="true" outlineLevel="0" collapsed="false">
      <c r="A111" s="15" t="s">
        <v>44</v>
      </c>
      <c r="B111" s="15" t="s">
        <v>334</v>
      </c>
      <c r="C111" s="15" t="s">
        <v>22</v>
      </c>
      <c r="D111" s="15" t="s">
        <v>349</v>
      </c>
      <c r="E111" s="15" t="s">
        <v>350</v>
      </c>
      <c r="F111" s="15" t="s">
        <v>351</v>
      </c>
    </row>
    <row r="112" customFormat="false" ht="15" hidden="false" customHeight="true" outlineLevel="0" collapsed="false">
      <c r="A112" s="15" t="s">
        <v>44</v>
      </c>
      <c r="B112" s="15" t="s">
        <v>334</v>
      </c>
      <c r="C112" s="15" t="s">
        <v>23</v>
      </c>
      <c r="D112" s="15" t="s">
        <v>349</v>
      </c>
      <c r="E112" s="15" t="s">
        <v>352</v>
      </c>
      <c r="F112" s="15" t="s">
        <v>353</v>
      </c>
    </row>
    <row r="113" customFormat="false" ht="15" hidden="false" customHeight="true" outlineLevel="0" collapsed="false">
      <c r="A113" s="15" t="s">
        <v>44</v>
      </c>
      <c r="B113" s="15" t="s">
        <v>334</v>
      </c>
      <c r="C113" s="15" t="s">
        <v>26</v>
      </c>
      <c r="D113" s="15" t="s">
        <v>354</v>
      </c>
      <c r="E113" s="15" t="s">
        <v>355</v>
      </c>
      <c r="F113" s="15"/>
    </row>
    <row r="114" customFormat="false" ht="15" hidden="false" customHeight="true" outlineLevel="0" collapsed="false">
      <c r="A114" s="15" t="s">
        <v>44</v>
      </c>
      <c r="B114" s="15" t="s">
        <v>334</v>
      </c>
      <c r="C114" s="15" t="s">
        <v>22</v>
      </c>
      <c r="D114" s="15" t="s">
        <v>354</v>
      </c>
      <c r="E114" s="15" t="s">
        <v>356</v>
      </c>
      <c r="F114" s="15"/>
    </row>
    <row r="115" customFormat="false" ht="15" hidden="false" customHeight="true" outlineLevel="0" collapsed="false">
      <c r="A115" s="15" t="s">
        <v>44</v>
      </c>
      <c r="B115" s="15" t="s">
        <v>334</v>
      </c>
      <c r="C115" s="15" t="s">
        <v>25</v>
      </c>
      <c r="D115" s="15" t="s">
        <v>354</v>
      </c>
      <c r="E115" s="15" t="s">
        <v>357</v>
      </c>
      <c r="F115" s="15" t="s">
        <v>358</v>
      </c>
    </row>
    <row r="116" customFormat="false" ht="15" hidden="false" customHeight="true" outlineLevel="0" collapsed="false">
      <c r="A116" s="15" t="s">
        <v>44</v>
      </c>
      <c r="B116" s="15" t="s">
        <v>334</v>
      </c>
      <c r="C116" s="15" t="s">
        <v>23</v>
      </c>
      <c r="D116" s="15" t="s">
        <v>359</v>
      </c>
      <c r="E116" s="15" t="s">
        <v>360</v>
      </c>
      <c r="F116" s="15"/>
    </row>
    <row r="117" customFormat="false" ht="15" hidden="false" customHeight="true" outlineLevel="0" collapsed="false">
      <c r="A117" s="15" t="s">
        <v>44</v>
      </c>
      <c r="B117" s="15" t="s">
        <v>334</v>
      </c>
      <c r="C117" s="15" t="s">
        <v>22</v>
      </c>
      <c r="D117" s="15" t="s">
        <v>361</v>
      </c>
      <c r="E117" s="15" t="s">
        <v>362</v>
      </c>
      <c r="F117" s="15" t="s">
        <v>363</v>
      </c>
    </row>
    <row r="118" customFormat="false" ht="15" hidden="false" customHeight="true" outlineLevel="0" collapsed="false">
      <c r="A118" s="15" t="s">
        <v>45</v>
      </c>
      <c r="B118" s="15" t="s">
        <v>364</v>
      </c>
      <c r="C118" s="15" t="s">
        <v>22</v>
      </c>
      <c r="D118" s="15" t="s">
        <v>365</v>
      </c>
      <c r="E118" s="15" t="s">
        <v>366</v>
      </c>
      <c r="F118" s="15" t="s">
        <v>367</v>
      </c>
    </row>
    <row r="119" customFormat="false" ht="15" hidden="false" customHeight="true" outlineLevel="0" collapsed="false">
      <c r="A119" s="15" t="s">
        <v>45</v>
      </c>
      <c r="B119" s="15" t="s">
        <v>364</v>
      </c>
      <c r="C119" s="15" t="s">
        <v>22</v>
      </c>
      <c r="D119" s="15" t="s">
        <v>368</v>
      </c>
      <c r="E119" s="15" t="s">
        <v>369</v>
      </c>
      <c r="F119" s="15" t="s">
        <v>370</v>
      </c>
    </row>
    <row r="120" customFormat="false" ht="15" hidden="false" customHeight="true" outlineLevel="0" collapsed="false">
      <c r="A120" s="15" t="s">
        <v>45</v>
      </c>
      <c r="B120" s="15" t="s">
        <v>364</v>
      </c>
      <c r="C120" s="15" t="s">
        <v>22</v>
      </c>
      <c r="D120" s="15" t="s">
        <v>371</v>
      </c>
      <c r="E120" s="15" t="s">
        <v>372</v>
      </c>
      <c r="F120" s="15" t="s">
        <v>373</v>
      </c>
    </row>
    <row r="121" customFormat="false" ht="15" hidden="false" customHeight="true" outlineLevel="0" collapsed="false">
      <c r="A121" s="15" t="s">
        <v>45</v>
      </c>
      <c r="B121" s="15" t="s">
        <v>364</v>
      </c>
      <c r="C121" s="15" t="s">
        <v>22</v>
      </c>
      <c r="D121" s="15" t="s">
        <v>374</v>
      </c>
      <c r="E121" s="15" t="s">
        <v>375</v>
      </c>
      <c r="F121" s="15" t="s">
        <v>376</v>
      </c>
    </row>
    <row r="122" customFormat="false" ht="15" hidden="false" customHeight="true" outlineLevel="0" collapsed="false">
      <c r="A122" s="15" t="s">
        <v>46</v>
      </c>
      <c r="B122" s="15" t="s">
        <v>377</v>
      </c>
      <c r="C122" s="15" t="s">
        <v>22</v>
      </c>
      <c r="D122" s="15" t="s">
        <v>378</v>
      </c>
      <c r="E122" s="15" t="s">
        <v>379</v>
      </c>
      <c r="F122" s="15" t="s">
        <v>380</v>
      </c>
    </row>
    <row r="123" customFormat="false" ht="15" hidden="false" customHeight="true" outlineLevel="0" collapsed="false">
      <c r="A123" s="15" t="s">
        <v>46</v>
      </c>
      <c r="B123" s="15" t="s">
        <v>377</v>
      </c>
      <c r="C123" s="15" t="s">
        <v>23</v>
      </c>
      <c r="D123" s="15" t="s">
        <v>378</v>
      </c>
      <c r="E123" s="15" t="s">
        <v>381</v>
      </c>
      <c r="F123" s="15" t="s">
        <v>382</v>
      </c>
    </row>
    <row r="124" customFormat="false" ht="15" hidden="false" customHeight="true" outlineLevel="0" collapsed="false">
      <c r="A124" s="15" t="s">
        <v>46</v>
      </c>
      <c r="B124" s="15" t="s">
        <v>377</v>
      </c>
      <c r="C124" s="15" t="s">
        <v>26</v>
      </c>
      <c r="D124" s="15" t="s">
        <v>383</v>
      </c>
      <c r="E124" s="15" t="s">
        <v>384</v>
      </c>
      <c r="F124" s="15" t="s">
        <v>385</v>
      </c>
    </row>
    <row r="125" customFormat="false" ht="15" hidden="false" customHeight="true" outlineLevel="0" collapsed="false">
      <c r="A125" s="15" t="s">
        <v>46</v>
      </c>
      <c r="B125" s="15" t="s">
        <v>377</v>
      </c>
      <c r="C125" s="15" t="s">
        <v>25</v>
      </c>
      <c r="D125" s="15" t="s">
        <v>383</v>
      </c>
      <c r="E125" s="15" t="s">
        <v>386</v>
      </c>
      <c r="F125" s="15" t="s">
        <v>387</v>
      </c>
    </row>
    <row r="126" customFormat="false" ht="15" hidden="false" customHeight="true" outlineLevel="0" collapsed="false">
      <c r="A126" s="15" t="s">
        <v>46</v>
      </c>
      <c r="B126" s="15" t="s">
        <v>377</v>
      </c>
      <c r="C126" s="15" t="s">
        <v>23</v>
      </c>
      <c r="D126" s="15" t="s">
        <v>388</v>
      </c>
      <c r="E126" s="15" t="s">
        <v>389</v>
      </c>
      <c r="F126" s="15" t="s">
        <v>390</v>
      </c>
    </row>
    <row r="127" customFormat="false" ht="15" hidden="false" customHeight="true" outlineLevel="0" collapsed="false">
      <c r="A127" s="15" t="s">
        <v>46</v>
      </c>
      <c r="B127" s="15" t="s">
        <v>377</v>
      </c>
      <c r="C127" s="15" t="s">
        <v>22</v>
      </c>
      <c r="D127" s="15" t="s">
        <v>391</v>
      </c>
      <c r="E127" s="15" t="s">
        <v>263</v>
      </c>
      <c r="F127" s="15" t="s">
        <v>392</v>
      </c>
    </row>
    <row r="128" customFormat="false" ht="15" hidden="false" customHeight="true" outlineLevel="0" collapsed="false">
      <c r="A128" s="15" t="s">
        <v>46</v>
      </c>
      <c r="B128" s="15" t="s">
        <v>377</v>
      </c>
      <c r="C128" s="15" t="s">
        <v>23</v>
      </c>
      <c r="D128" s="15" t="s">
        <v>391</v>
      </c>
      <c r="E128" s="15" t="s">
        <v>393</v>
      </c>
      <c r="F128" s="15" t="s">
        <v>394</v>
      </c>
    </row>
    <row r="129" customFormat="false" ht="15" hidden="false" customHeight="true" outlineLevel="0" collapsed="false">
      <c r="A129" s="15" t="s">
        <v>46</v>
      </c>
      <c r="B129" s="15" t="s">
        <v>377</v>
      </c>
      <c r="C129" s="15" t="s">
        <v>26</v>
      </c>
      <c r="D129" s="15" t="s">
        <v>395</v>
      </c>
      <c r="E129" s="15" t="s">
        <v>396</v>
      </c>
      <c r="F129" s="15" t="s">
        <v>397</v>
      </c>
    </row>
    <row r="130" customFormat="false" ht="15" hidden="false" customHeight="true" outlineLevel="0" collapsed="false">
      <c r="A130" s="15" t="s">
        <v>46</v>
      </c>
      <c r="B130" s="15" t="s">
        <v>377</v>
      </c>
      <c r="C130" s="15" t="s">
        <v>25</v>
      </c>
      <c r="D130" s="15" t="s">
        <v>395</v>
      </c>
      <c r="E130" s="15" t="s">
        <v>270</v>
      </c>
      <c r="F130" s="15" t="s">
        <v>398</v>
      </c>
    </row>
    <row r="131" customFormat="false" ht="15" hidden="false" customHeight="true" outlineLevel="0" collapsed="false">
      <c r="A131" s="15" t="s">
        <v>46</v>
      </c>
      <c r="B131" s="15" t="s">
        <v>377</v>
      </c>
      <c r="C131" s="15" t="s">
        <v>23</v>
      </c>
      <c r="D131" s="15" t="s">
        <v>399</v>
      </c>
      <c r="E131" s="15" t="s">
        <v>400</v>
      </c>
      <c r="F131" s="15" t="s">
        <v>401</v>
      </c>
    </row>
    <row r="132" customFormat="false" ht="15" hidden="false" customHeight="true" outlineLevel="0" collapsed="false">
      <c r="A132" s="15" t="s">
        <v>46</v>
      </c>
      <c r="B132" s="15" t="s">
        <v>377</v>
      </c>
      <c r="C132" s="15" t="s">
        <v>22</v>
      </c>
      <c r="D132" s="15" t="s">
        <v>402</v>
      </c>
      <c r="E132" s="15" t="s">
        <v>403</v>
      </c>
      <c r="F132" s="15" t="s">
        <v>404</v>
      </c>
    </row>
    <row r="133" customFormat="false" ht="15" hidden="false" customHeight="true" outlineLevel="0" collapsed="false">
      <c r="A133" s="15" t="s">
        <v>47</v>
      </c>
      <c r="B133" s="15" t="s">
        <v>405</v>
      </c>
      <c r="C133" s="15" t="s">
        <v>23</v>
      </c>
      <c r="D133" s="15" t="s">
        <v>406</v>
      </c>
      <c r="E133" s="15" t="s">
        <v>407</v>
      </c>
      <c r="F133" s="15" t="s">
        <v>408</v>
      </c>
    </row>
    <row r="134" customFormat="false" ht="15" hidden="false" customHeight="true" outlineLevel="0" collapsed="false">
      <c r="A134" s="15" t="s">
        <v>47</v>
      </c>
      <c r="B134" s="15" t="s">
        <v>405</v>
      </c>
      <c r="C134" s="15" t="s">
        <v>22</v>
      </c>
      <c r="D134" s="15" t="s">
        <v>409</v>
      </c>
      <c r="E134" s="15" t="s">
        <v>95</v>
      </c>
      <c r="F134" s="15" t="s">
        <v>410</v>
      </c>
    </row>
    <row r="135" customFormat="false" ht="15" hidden="false" customHeight="true" outlineLevel="0" collapsed="false">
      <c r="A135" s="15" t="s">
        <v>47</v>
      </c>
      <c r="B135" s="15" t="s">
        <v>405</v>
      </c>
      <c r="C135" s="15" t="s">
        <v>23</v>
      </c>
      <c r="D135" s="15" t="s">
        <v>409</v>
      </c>
      <c r="E135" s="15" t="s">
        <v>163</v>
      </c>
      <c r="F135" s="15" t="s">
        <v>411</v>
      </c>
    </row>
    <row r="136" customFormat="false" ht="15" hidden="false" customHeight="true" outlineLevel="0" collapsed="false">
      <c r="A136" s="15" t="s">
        <v>47</v>
      </c>
      <c r="B136" s="15" t="s">
        <v>405</v>
      </c>
      <c r="C136" s="15" t="s">
        <v>22</v>
      </c>
      <c r="D136" s="15" t="s">
        <v>412</v>
      </c>
      <c r="E136" s="15" t="s">
        <v>413</v>
      </c>
      <c r="F136" s="15" t="s">
        <v>414</v>
      </c>
    </row>
    <row r="137" customFormat="false" ht="15" hidden="false" customHeight="true" outlineLevel="0" collapsed="false">
      <c r="A137" s="15" t="s">
        <v>47</v>
      </c>
      <c r="B137" s="15" t="s">
        <v>405</v>
      </c>
      <c r="C137" s="15" t="s">
        <v>23</v>
      </c>
      <c r="D137" s="15" t="s">
        <v>412</v>
      </c>
      <c r="E137" s="15" t="s">
        <v>415</v>
      </c>
      <c r="F137" s="15" t="s">
        <v>416</v>
      </c>
    </row>
    <row r="138" customFormat="false" ht="15" hidden="false" customHeight="true" outlineLevel="0" collapsed="false">
      <c r="A138" s="15" t="s">
        <v>47</v>
      </c>
      <c r="B138" s="15" t="s">
        <v>405</v>
      </c>
      <c r="C138" s="15" t="s">
        <v>26</v>
      </c>
      <c r="D138" s="15" t="s">
        <v>417</v>
      </c>
      <c r="E138" s="15" t="s">
        <v>418</v>
      </c>
      <c r="F138" s="15" t="s">
        <v>419</v>
      </c>
    </row>
    <row r="139" customFormat="false" ht="15" hidden="false" customHeight="true" outlineLevel="0" collapsed="false">
      <c r="A139" s="15" t="s">
        <v>47</v>
      </c>
      <c r="B139" s="15" t="s">
        <v>405</v>
      </c>
      <c r="C139" s="15" t="s">
        <v>25</v>
      </c>
      <c r="D139" s="15" t="s">
        <v>417</v>
      </c>
      <c r="E139" s="15" t="s">
        <v>420</v>
      </c>
      <c r="F139" s="15" t="s">
        <v>421</v>
      </c>
    </row>
    <row r="140" customFormat="false" ht="15" hidden="false" customHeight="true" outlineLevel="0" collapsed="false">
      <c r="A140" s="15" t="s">
        <v>47</v>
      </c>
      <c r="B140" s="15" t="s">
        <v>405</v>
      </c>
      <c r="C140" s="15" t="s">
        <v>22</v>
      </c>
      <c r="D140" s="15" t="s">
        <v>422</v>
      </c>
      <c r="E140" s="15" t="s">
        <v>201</v>
      </c>
      <c r="F140" s="15" t="s">
        <v>423</v>
      </c>
    </row>
    <row r="141" customFormat="false" ht="15" hidden="false" customHeight="true" outlineLevel="0" collapsed="false">
      <c r="A141" s="15" t="s">
        <v>47</v>
      </c>
      <c r="B141" s="15" t="s">
        <v>405</v>
      </c>
      <c r="C141" s="15" t="s">
        <v>22</v>
      </c>
      <c r="D141" s="15" t="s">
        <v>424</v>
      </c>
      <c r="E141" s="15" t="s">
        <v>251</v>
      </c>
      <c r="F141" s="15" t="s">
        <v>425</v>
      </c>
    </row>
    <row r="142" customFormat="false" ht="15" hidden="false" customHeight="true" outlineLevel="0" collapsed="false">
      <c r="A142" s="15" t="s">
        <v>48</v>
      </c>
      <c r="B142" s="15" t="s">
        <v>426</v>
      </c>
      <c r="C142" s="15" t="s">
        <v>22</v>
      </c>
      <c r="D142" s="15" t="s">
        <v>427</v>
      </c>
      <c r="E142" s="15" t="s">
        <v>95</v>
      </c>
      <c r="F142" s="15" t="s">
        <v>428</v>
      </c>
    </row>
    <row r="143" customFormat="false" ht="15" hidden="false" customHeight="true" outlineLevel="0" collapsed="false">
      <c r="A143" s="15" t="s">
        <v>48</v>
      </c>
      <c r="B143" s="15" t="s">
        <v>426</v>
      </c>
      <c r="C143" s="15" t="s">
        <v>22</v>
      </c>
      <c r="D143" s="15" t="s">
        <v>429</v>
      </c>
      <c r="E143" s="15" t="s">
        <v>81</v>
      </c>
      <c r="F143" s="15" t="s">
        <v>430</v>
      </c>
    </row>
    <row r="144" customFormat="false" ht="15" hidden="false" customHeight="true" outlineLevel="0" collapsed="false">
      <c r="A144" s="15" t="s">
        <v>49</v>
      </c>
      <c r="B144" s="15" t="s">
        <v>431</v>
      </c>
      <c r="C144" s="15" t="s">
        <v>23</v>
      </c>
      <c r="D144" s="15" t="s">
        <v>432</v>
      </c>
      <c r="E144" s="15" t="s">
        <v>433</v>
      </c>
      <c r="F144" s="15" t="s">
        <v>434</v>
      </c>
    </row>
    <row r="145" customFormat="false" ht="15" hidden="false" customHeight="true" outlineLevel="0" collapsed="false">
      <c r="A145" s="15" t="s">
        <v>49</v>
      </c>
      <c r="B145" s="15" t="s">
        <v>431</v>
      </c>
      <c r="C145" s="15" t="s">
        <v>23</v>
      </c>
      <c r="D145" s="15" t="s">
        <v>435</v>
      </c>
      <c r="E145" s="15" t="s">
        <v>436</v>
      </c>
      <c r="F145" s="15" t="s">
        <v>437</v>
      </c>
    </row>
    <row r="146" customFormat="false" ht="15" hidden="false" customHeight="true" outlineLevel="0" collapsed="false">
      <c r="A146" s="15" t="s">
        <v>49</v>
      </c>
      <c r="B146" s="15" t="s">
        <v>431</v>
      </c>
      <c r="C146" s="15" t="s">
        <v>23</v>
      </c>
      <c r="D146" s="15" t="s">
        <v>438</v>
      </c>
      <c r="E146" s="15" t="s">
        <v>439</v>
      </c>
      <c r="F146" s="15" t="s">
        <v>440</v>
      </c>
    </row>
    <row r="147" customFormat="false" ht="15" hidden="false" customHeight="true" outlineLevel="0" collapsed="false">
      <c r="A147" s="15" t="s">
        <v>49</v>
      </c>
      <c r="B147" s="15" t="s">
        <v>431</v>
      </c>
      <c r="C147" s="15" t="s">
        <v>22</v>
      </c>
      <c r="D147" s="15" t="s">
        <v>441</v>
      </c>
      <c r="E147" s="15" t="s">
        <v>442</v>
      </c>
      <c r="F147" s="15" t="s">
        <v>443</v>
      </c>
    </row>
    <row r="148" customFormat="false" ht="15" hidden="false" customHeight="true" outlineLevel="0" collapsed="false">
      <c r="A148" s="15" t="s">
        <v>49</v>
      </c>
      <c r="B148" s="15" t="s">
        <v>431</v>
      </c>
      <c r="C148" s="15" t="s">
        <v>23</v>
      </c>
      <c r="D148" s="15" t="s">
        <v>441</v>
      </c>
      <c r="E148" s="15" t="s">
        <v>444</v>
      </c>
      <c r="F148" s="15" t="s">
        <v>445</v>
      </c>
    </row>
    <row r="149" customFormat="false" ht="15" hidden="false" customHeight="true" outlineLevel="0" collapsed="false">
      <c r="A149" s="15" t="s">
        <v>49</v>
      </c>
      <c r="B149" s="15" t="s">
        <v>431</v>
      </c>
      <c r="C149" s="15" t="s">
        <v>22</v>
      </c>
      <c r="D149" s="15" t="s">
        <v>446</v>
      </c>
      <c r="E149" s="15" t="s">
        <v>447</v>
      </c>
      <c r="F149" s="15" t="s">
        <v>448</v>
      </c>
    </row>
    <row r="150" customFormat="false" ht="15" hidden="false" customHeight="true" outlineLevel="0" collapsed="false">
      <c r="A150" s="15" t="s">
        <v>49</v>
      </c>
      <c r="B150" s="15" t="s">
        <v>431</v>
      </c>
      <c r="C150" s="15" t="s">
        <v>23</v>
      </c>
      <c r="D150" s="15" t="s">
        <v>449</v>
      </c>
      <c r="E150" s="15" t="s">
        <v>450</v>
      </c>
      <c r="F150" s="15" t="s">
        <v>451</v>
      </c>
    </row>
    <row r="151" customFormat="false" ht="15" hidden="false" customHeight="true" outlineLevel="0" collapsed="false">
      <c r="A151" s="15" t="s">
        <v>50</v>
      </c>
      <c r="B151" s="15" t="s">
        <v>452</v>
      </c>
      <c r="C151" s="15" t="s">
        <v>22</v>
      </c>
      <c r="D151" s="15" t="s">
        <v>453</v>
      </c>
      <c r="E151" s="15" t="s">
        <v>152</v>
      </c>
      <c r="F151" s="15" t="s">
        <v>454</v>
      </c>
    </row>
    <row r="152" customFormat="false" ht="15" hidden="false" customHeight="true" outlineLevel="0" collapsed="false">
      <c r="A152" s="15" t="s">
        <v>50</v>
      </c>
      <c r="B152" s="15" t="s">
        <v>452</v>
      </c>
      <c r="C152" s="15" t="s">
        <v>23</v>
      </c>
      <c r="D152" s="15" t="s">
        <v>453</v>
      </c>
      <c r="E152" s="15" t="s">
        <v>154</v>
      </c>
      <c r="F152" s="15" t="s">
        <v>455</v>
      </c>
    </row>
    <row r="153" customFormat="false" ht="15" hidden="false" customHeight="true" outlineLevel="0" collapsed="false">
      <c r="A153" s="15" t="s">
        <v>50</v>
      </c>
      <c r="B153" s="15" t="s">
        <v>452</v>
      </c>
      <c r="C153" s="15" t="s">
        <v>25</v>
      </c>
      <c r="D153" s="15" t="s">
        <v>456</v>
      </c>
      <c r="E153" s="15" t="s">
        <v>159</v>
      </c>
      <c r="F153" s="15" t="s">
        <v>457</v>
      </c>
    </row>
    <row r="154" customFormat="false" ht="15" hidden="false" customHeight="true" outlineLevel="0" collapsed="false">
      <c r="A154" s="15" t="s">
        <v>50</v>
      </c>
      <c r="B154" s="15" t="s">
        <v>452</v>
      </c>
      <c r="C154" s="15" t="s">
        <v>22</v>
      </c>
      <c r="D154" s="15" t="s">
        <v>458</v>
      </c>
      <c r="E154" s="15" t="s">
        <v>459</v>
      </c>
      <c r="F154" s="15" t="s">
        <v>460</v>
      </c>
    </row>
    <row r="155" customFormat="false" ht="15" hidden="false" customHeight="true" outlineLevel="0" collapsed="false">
      <c r="A155" s="15" t="s">
        <v>50</v>
      </c>
      <c r="B155" s="15" t="s">
        <v>452</v>
      </c>
      <c r="C155" s="15" t="s">
        <v>22</v>
      </c>
      <c r="D155" s="15" t="s">
        <v>461</v>
      </c>
      <c r="E155" s="15" t="s">
        <v>251</v>
      </c>
      <c r="F155" s="15" t="s">
        <v>462</v>
      </c>
    </row>
    <row r="156" customFormat="false" ht="15" hidden="false" customHeight="true" outlineLevel="0" collapsed="false">
      <c r="A156" s="15" t="s">
        <v>50</v>
      </c>
      <c r="B156" s="15" t="s">
        <v>452</v>
      </c>
      <c r="C156" s="15" t="s">
        <v>22</v>
      </c>
      <c r="D156" s="15" t="s">
        <v>463</v>
      </c>
      <c r="E156" s="15" t="s">
        <v>464</v>
      </c>
      <c r="F156" s="15" t="s">
        <v>465</v>
      </c>
    </row>
    <row r="157" customFormat="false" ht="15" hidden="false" customHeight="true" outlineLevel="0" collapsed="false">
      <c r="A157" s="15" t="s">
        <v>50</v>
      </c>
      <c r="B157" s="15" t="s">
        <v>452</v>
      </c>
      <c r="C157" s="15" t="s">
        <v>26</v>
      </c>
      <c r="D157" s="15" t="s">
        <v>466</v>
      </c>
      <c r="E157" s="15" t="s">
        <v>467</v>
      </c>
      <c r="F157" s="15" t="s">
        <v>468</v>
      </c>
    </row>
    <row r="158" customFormat="false" ht="15" hidden="false" customHeight="true" outlineLevel="0" collapsed="false">
      <c r="A158" s="15" t="s">
        <v>50</v>
      </c>
      <c r="B158" s="15" t="s">
        <v>452</v>
      </c>
      <c r="C158" s="15" t="s">
        <v>22</v>
      </c>
      <c r="D158" s="15" t="s">
        <v>466</v>
      </c>
      <c r="E158" s="15" t="s">
        <v>201</v>
      </c>
      <c r="F158" s="15" t="s">
        <v>469</v>
      </c>
    </row>
    <row r="159" customFormat="false" ht="15" hidden="false" customHeight="true" outlineLevel="0" collapsed="false">
      <c r="A159" s="15" t="s">
        <v>50</v>
      </c>
      <c r="B159" s="15" t="s">
        <v>452</v>
      </c>
      <c r="C159" s="15" t="s">
        <v>23</v>
      </c>
      <c r="D159" s="15" t="s">
        <v>466</v>
      </c>
      <c r="E159" s="15" t="s">
        <v>470</v>
      </c>
      <c r="F159" s="15" t="s">
        <v>471</v>
      </c>
    </row>
    <row r="160" customFormat="false" ht="15" hidden="false" customHeight="true" outlineLevel="0" collapsed="false">
      <c r="A160" s="15" t="s">
        <v>51</v>
      </c>
      <c r="B160" s="15" t="s">
        <v>472</v>
      </c>
      <c r="C160" s="15" t="s">
        <v>23</v>
      </c>
      <c r="D160" s="15" t="s">
        <v>473</v>
      </c>
      <c r="E160" s="15" t="s">
        <v>474</v>
      </c>
      <c r="F160" s="15" t="s">
        <v>475</v>
      </c>
    </row>
    <row r="161" customFormat="false" ht="15" hidden="false" customHeight="true" outlineLevel="0" collapsed="false">
      <c r="A161" s="15" t="s">
        <v>51</v>
      </c>
      <c r="B161" s="15" t="s">
        <v>472</v>
      </c>
      <c r="C161" s="15" t="s">
        <v>22</v>
      </c>
      <c r="D161" s="15" t="s">
        <v>476</v>
      </c>
      <c r="E161" s="15" t="s">
        <v>477</v>
      </c>
      <c r="F161" s="15" t="s">
        <v>478</v>
      </c>
    </row>
    <row r="162" customFormat="false" ht="15" hidden="false" customHeight="true" outlineLevel="0" collapsed="false">
      <c r="A162" s="15" t="s">
        <v>51</v>
      </c>
      <c r="B162" s="15" t="s">
        <v>472</v>
      </c>
      <c r="C162" s="15" t="s">
        <v>23</v>
      </c>
      <c r="D162" s="15" t="s">
        <v>476</v>
      </c>
      <c r="E162" s="15" t="s">
        <v>479</v>
      </c>
      <c r="F162" s="15" t="s">
        <v>480</v>
      </c>
    </row>
  </sheetData>
  <autoFilter ref="A1:F1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2026-10-29T18:52:22Z</dcterms:created>
  <dc:creator>openpyxl</dc:creator>
  <dc:description/>
  <dc:language>en-US</dc:language>
  <cp:lastModifiedBy/>
  <dcterms:modified xsi:type="dcterms:W3CDTF">2026-10-31T00:52:52Z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